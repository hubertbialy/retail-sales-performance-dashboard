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ubert\Desktop\"/>
    </mc:Choice>
  </mc:AlternateContent>
  <xr:revisionPtr revIDLastSave="0" documentId="13_ncr:1_{C2A54239-0041-4987-BC1D-5BFFBF7F0A0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tabase" sheetId="1" r:id="rId1"/>
    <sheet name="Pivots" sheetId="4" r:id="rId2"/>
    <sheet name="Dashboard" sheetId="2" r:id="rId3"/>
  </sheets>
  <definedNames>
    <definedName name="_xlchart.v5.0" hidden="1">Pivots!$K$89:$L$89</definedName>
    <definedName name="_xlchart.v5.1" hidden="1">Pivots!$K$90:$L$147</definedName>
    <definedName name="_xlchart.v5.10" hidden="1">Pivots!$I$89</definedName>
    <definedName name="_xlchart.v5.11" hidden="1">Pivots!$I$90:$I$147</definedName>
    <definedName name="_xlchart.v5.2" hidden="1">Pivots!$M$89</definedName>
    <definedName name="_xlchart.v5.3" hidden="1">Pivots!$M$90:$M$147</definedName>
    <definedName name="_xlchart.v5.4" hidden="1">Pivots!$G$89:$H$89</definedName>
    <definedName name="_xlchart.v5.5" hidden="1">Pivots!$G$90:$H$147</definedName>
    <definedName name="_xlchart.v5.6" hidden="1">Pivots!$I$89</definedName>
    <definedName name="_xlchart.v5.7" hidden="1">Pivots!$I$90:$I$147</definedName>
    <definedName name="_xlchart.v5.8" hidden="1">Pivots!$G$89:$H$89</definedName>
    <definedName name="_xlchart.v5.9" hidden="1">Pivots!$G$90:$H$147</definedName>
    <definedName name="Fragmentator_Gender_Value">#N/A</definedName>
    <definedName name="Fragmentator_Order_Mode">#N/A</definedName>
    <definedName name="_xlnm.Print_Area" localSheetId="2">Dashboard!$A$1:$Y$43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K4" i="4"/>
  <c r="C84" i="4"/>
  <c r="D84" i="4"/>
  <c r="E84" i="4"/>
  <c r="B84" i="4"/>
  <c r="C85" i="4"/>
  <c r="D85" i="4"/>
  <c r="E85" i="4"/>
  <c r="B85" i="4"/>
  <c r="T185" i="4"/>
  <c r="U185" i="4"/>
  <c r="V185" i="4"/>
  <c r="S185" i="4"/>
  <c r="S186" i="4"/>
  <c r="T186" i="4"/>
  <c r="U186" i="4"/>
  <c r="V186" i="4"/>
  <c r="S187" i="4"/>
  <c r="T187" i="4"/>
  <c r="U187" i="4"/>
  <c r="V187" i="4"/>
  <c r="S188" i="4"/>
  <c r="T188" i="4"/>
  <c r="U188" i="4"/>
  <c r="V188" i="4"/>
  <c r="S189" i="4"/>
  <c r="T189" i="4"/>
  <c r="U189" i="4"/>
  <c r="V189" i="4"/>
  <c r="S190" i="4"/>
  <c r="T190" i="4"/>
  <c r="U190" i="4"/>
  <c r="V190" i="4"/>
  <c r="R187" i="4"/>
  <c r="R188" i="4"/>
  <c r="R189" i="4"/>
  <c r="R190" i="4"/>
  <c r="R186" i="4"/>
  <c r="H4" i="4"/>
  <c r="I4" i="4"/>
  <c r="G4" i="4"/>
  <c r="O2401" i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 a="1"/>
  <c r="O2385" i="1" s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 a="1"/>
  <c r="O2376" i="1" s="1"/>
  <c r="N2376" i="1"/>
  <c r="M2376" i="1"/>
  <c r="O2375" i="1" a="1"/>
  <c r="O2375" i="1" s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 a="1"/>
  <c r="O2372" i="1" s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 a="1"/>
  <c r="O2367" i="1" s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 a="1"/>
  <c r="O2355" i="1" s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 a="1"/>
  <c r="O2349" i="1" s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 a="1"/>
  <c r="O2339" i="1" s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 a="1"/>
  <c r="O2327" i="1" s="1"/>
  <c r="N2327" i="1"/>
  <c r="M2327" i="1"/>
  <c r="O2326" i="1" a="1"/>
  <c r="O2326" i="1" s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 a="1"/>
  <c r="O2321" i="1" s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/>
  <c r="O2315" i="1" a="1"/>
  <c r="N2315" i="1"/>
  <c r="M2315" i="1"/>
  <c r="O2314" i="1"/>
  <c r="O2314" i="1" a="1"/>
  <c r="N2314" i="1"/>
  <c r="M2314" i="1"/>
  <c r="O2313" i="1"/>
  <c r="O2313" i="1" a="1"/>
  <c r="N2313" i="1"/>
  <c r="M2313" i="1"/>
  <c r="O2312" i="1"/>
  <c r="O2312" i="1" a="1"/>
  <c r="N2312" i="1"/>
  <c r="M2312" i="1"/>
  <c r="O2311" i="1"/>
  <c r="O2311" i="1" a="1"/>
  <c r="N2311" i="1"/>
  <c r="M2311" i="1"/>
  <c r="O2310" i="1"/>
  <c r="O2310" i="1" a="1"/>
  <c r="N2310" i="1"/>
  <c r="M2310" i="1"/>
  <c r="O2309" i="1"/>
  <c r="O2309" i="1" a="1"/>
  <c r="N2309" i="1"/>
  <c r="M2309" i="1"/>
  <c r="O2308" i="1"/>
  <c r="O2308" i="1" a="1"/>
  <c r="N2308" i="1"/>
  <c r="M2308" i="1"/>
  <c r="O2307" i="1"/>
  <c r="O2307" i="1" a="1"/>
  <c r="N2307" i="1"/>
  <c r="M2307" i="1"/>
  <c r="O2306" i="1"/>
  <c r="O2306" i="1" a="1"/>
  <c r="N2306" i="1"/>
  <c r="M2306" i="1"/>
  <c r="O2305" i="1"/>
  <c r="O2305" i="1" a="1"/>
  <c r="N2305" i="1"/>
  <c r="M2305" i="1"/>
  <c r="O2304" i="1"/>
  <c r="O2304" i="1" a="1"/>
  <c r="N2304" i="1"/>
  <c r="M2304" i="1"/>
  <c r="O2303" i="1"/>
  <c r="O2303" i="1" a="1"/>
  <c r="N2303" i="1"/>
  <c r="M2303" i="1"/>
  <c r="O2302" i="1"/>
  <c r="O2302" i="1" a="1"/>
  <c r="N2302" i="1"/>
  <c r="M2302" i="1"/>
  <c r="O2301" i="1"/>
  <c r="O2301" i="1" a="1"/>
  <c r="N2301" i="1"/>
  <c r="M2301" i="1"/>
  <c r="O2300" i="1"/>
  <c r="O2300" i="1" a="1"/>
  <c r="N2300" i="1"/>
  <c r="M2300" i="1"/>
  <c r="O2299" i="1"/>
  <c r="O2299" i="1" a="1"/>
  <c r="N2299" i="1"/>
  <c r="M2299" i="1"/>
  <c r="O2298" i="1"/>
  <c r="O2298" i="1" a="1"/>
  <c r="N2298" i="1"/>
  <c r="M2298" i="1"/>
  <c r="O2297" i="1"/>
  <c r="O2297" i="1" a="1"/>
  <c r="N2297" i="1"/>
  <c r="M2297" i="1"/>
  <c r="O2296" i="1"/>
  <c r="O2296" i="1" a="1"/>
  <c r="N2296" i="1"/>
  <c r="M2296" i="1"/>
  <c r="O2295" i="1"/>
  <c r="O2295" i="1" a="1"/>
  <c r="N2295" i="1"/>
  <c r="M2295" i="1"/>
  <c r="O2294" i="1"/>
  <c r="O2294" i="1" a="1"/>
  <c r="N2294" i="1"/>
  <c r="M2294" i="1"/>
  <c r="O2293" i="1"/>
  <c r="O2293" i="1" a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/>
  <c r="O2289" i="1" a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/>
  <c r="O2284" i="1" a="1"/>
  <c r="N2284" i="1"/>
  <c r="M2284" i="1"/>
  <c r="O2283" i="1"/>
  <c r="O2283" i="1" a="1"/>
  <c r="N2283" i="1"/>
  <c r="M2283" i="1"/>
  <c r="O2282" i="1"/>
  <c r="O2282" i="1" a="1"/>
  <c r="N2282" i="1"/>
  <c r="M2282" i="1"/>
  <c r="O2281" i="1"/>
  <c r="O2281" i="1" a="1"/>
  <c r="N2281" i="1"/>
  <c r="M2281" i="1"/>
  <c r="O2280" i="1"/>
  <c r="O2280" i="1" a="1"/>
  <c r="N2280" i="1"/>
  <c r="M2280" i="1"/>
  <c r="O2279" i="1"/>
  <c r="O2279" i="1" a="1"/>
  <c r="N2279" i="1"/>
  <c r="M2279" i="1"/>
  <c r="O2278" i="1"/>
  <c r="O2278" i="1" a="1"/>
  <c r="N2278" i="1"/>
  <c r="M2278" i="1"/>
  <c r="O2277" i="1"/>
  <c r="O2277" i="1" a="1"/>
  <c r="N2277" i="1"/>
  <c r="M2277" i="1"/>
  <c r="O2276" i="1"/>
  <c r="O2276" i="1" a="1"/>
  <c r="N2276" i="1"/>
  <c r="M2276" i="1"/>
  <c r="O2275" i="1"/>
  <c r="O2275" i="1" a="1"/>
  <c r="N2275" i="1"/>
  <c r="M2275" i="1"/>
  <c r="O2274" i="1"/>
  <c r="O2274" i="1" a="1"/>
  <c r="N2274" i="1"/>
  <c r="M2274" i="1"/>
  <c r="O2273" i="1"/>
  <c r="O2273" i="1" a="1"/>
  <c r="N2273" i="1"/>
  <c r="M2273" i="1"/>
  <c r="O2272" i="1"/>
  <c r="O2272" i="1" a="1"/>
  <c r="N2272" i="1"/>
  <c r="M2272" i="1"/>
  <c r="O2271" i="1"/>
  <c r="O2271" i="1" a="1"/>
  <c r="N2271" i="1"/>
  <c r="M2271" i="1"/>
  <c r="O2270" i="1"/>
  <c r="O2270" i="1" a="1"/>
  <c r="N2270" i="1"/>
  <c r="M2270" i="1"/>
  <c r="O2269" i="1"/>
  <c r="O2269" i="1" a="1"/>
  <c r="N2269" i="1"/>
  <c r="M2269" i="1"/>
  <c r="O2268" i="1"/>
  <c r="O2268" i="1" a="1"/>
  <c r="N2268" i="1"/>
  <c r="M2268" i="1"/>
  <c r="O2267" i="1"/>
  <c r="O2267" i="1" a="1"/>
  <c r="N2267" i="1"/>
  <c r="M2267" i="1"/>
  <c r="O2266" i="1"/>
  <c r="O2266" i="1" a="1"/>
  <c r="N2266" i="1"/>
  <c r="M2266" i="1"/>
  <c r="O2265" i="1"/>
  <c r="O2265" i="1" a="1"/>
  <c r="N2265" i="1"/>
  <c r="M2265" i="1"/>
  <c r="O2264" i="1"/>
  <c r="O2264" i="1" a="1"/>
  <c r="N2264" i="1"/>
  <c r="M2264" i="1"/>
  <c r="O2263" i="1"/>
  <c r="O2263" i="1" a="1"/>
  <c r="N2263" i="1"/>
  <c r="M2263" i="1"/>
  <c r="O2262" i="1"/>
  <c r="O2262" i="1" a="1"/>
  <c r="N2262" i="1"/>
  <c r="M2262" i="1"/>
  <c r="O2261" i="1"/>
  <c r="O2261" i="1" a="1"/>
  <c r="N2261" i="1"/>
  <c r="M2261" i="1"/>
  <c r="O2260" i="1"/>
  <c r="O2260" i="1" a="1"/>
  <c r="N2260" i="1"/>
  <c r="M2260" i="1"/>
  <c r="O2259" i="1"/>
  <c r="O2259" i="1" a="1"/>
  <c r="N2259" i="1"/>
  <c r="M2259" i="1"/>
  <c r="O2258" i="1"/>
  <c r="O2258" i="1" a="1"/>
  <c r="N2258" i="1"/>
  <c r="M2258" i="1"/>
  <c r="O2257" i="1"/>
  <c r="O2257" i="1" a="1"/>
  <c r="N2257" i="1"/>
  <c r="M2257" i="1"/>
  <c r="O2256" i="1"/>
  <c r="O2256" i="1" a="1"/>
  <c r="N2256" i="1"/>
  <c r="M2256" i="1"/>
  <c r="O2255" i="1"/>
  <c r="O2255" i="1" a="1"/>
  <c r="N2255" i="1"/>
  <c r="M2255" i="1"/>
  <c r="O2254" i="1"/>
  <c r="O2254" i="1" a="1"/>
  <c r="N2254" i="1"/>
  <c r="M2254" i="1"/>
  <c r="O2253" i="1"/>
  <c r="O2253" i="1" a="1"/>
  <c r="N2253" i="1"/>
  <c r="M2253" i="1"/>
  <c r="O2252" i="1"/>
  <c r="O2252" i="1" a="1"/>
  <c r="N2252" i="1"/>
  <c r="M2252" i="1"/>
  <c r="O2251" i="1"/>
  <c r="O2251" i="1" a="1"/>
  <c r="N2251" i="1"/>
  <c r="M2251" i="1"/>
  <c r="O2250" i="1"/>
  <c r="O2250" i="1" a="1"/>
  <c r="N2250" i="1"/>
  <c r="M2250" i="1"/>
  <c r="O2249" i="1"/>
  <c r="O2249" i="1" a="1"/>
  <c r="N2249" i="1"/>
  <c r="M2249" i="1"/>
  <c r="O2248" i="1"/>
  <c r="O2248" i="1" a="1"/>
  <c r="N2248" i="1"/>
  <c r="M2248" i="1"/>
  <c r="O2247" i="1"/>
  <c r="O2247" i="1" a="1"/>
  <c r="N2247" i="1"/>
  <c r="M2247" i="1"/>
  <c r="O2246" i="1"/>
  <c r="O2246" i="1" a="1"/>
  <c r="N2246" i="1"/>
  <c r="M2246" i="1"/>
  <c r="O2245" i="1"/>
  <c r="O2245" i="1" a="1"/>
  <c r="N2245" i="1"/>
  <c r="M2245" i="1"/>
  <c r="O2244" i="1"/>
  <c r="O2244" i="1" a="1"/>
  <c r="N2244" i="1"/>
  <c r="M2244" i="1"/>
  <c r="O2243" i="1"/>
  <c r="O2243" i="1" a="1"/>
  <c r="N2243" i="1"/>
  <c r="M2243" i="1"/>
  <c r="O2242" i="1"/>
  <c r="O2242" i="1" a="1"/>
  <c r="N2242" i="1"/>
  <c r="M2242" i="1"/>
  <c r="O2241" i="1"/>
  <c r="O2241" i="1" a="1"/>
  <c r="N2241" i="1"/>
  <c r="M2241" i="1"/>
  <c r="O2240" i="1"/>
  <c r="O2240" i="1" a="1"/>
  <c r="N2240" i="1"/>
  <c r="M2240" i="1"/>
  <c r="O2239" i="1"/>
  <c r="O2239" i="1" a="1"/>
  <c r="N2239" i="1"/>
  <c r="M2239" i="1"/>
  <c r="O2238" i="1"/>
  <c r="O2238" i="1" a="1"/>
  <c r="N2238" i="1"/>
  <c r="M2238" i="1"/>
  <c r="O2237" i="1"/>
  <c r="O2237" i="1" a="1"/>
  <c r="N2237" i="1"/>
  <c r="M2237" i="1"/>
  <c r="O2236" i="1"/>
  <c r="O2236" i="1" a="1"/>
  <c r="N2236" i="1"/>
  <c r="M2236" i="1"/>
  <c r="O2235" i="1"/>
  <c r="O2235" i="1" a="1"/>
  <c r="N2235" i="1"/>
  <c r="M2235" i="1"/>
  <c r="O2234" i="1"/>
  <c r="O2234" i="1" a="1"/>
  <c r="N2234" i="1"/>
  <c r="M2234" i="1"/>
  <c r="O2233" i="1"/>
  <c r="O2233" i="1" a="1"/>
  <c r="N2233" i="1"/>
  <c r="M2233" i="1"/>
  <c r="O2232" i="1"/>
  <c r="O2232" i="1" a="1"/>
  <c r="N2232" i="1"/>
  <c r="M2232" i="1"/>
  <c r="O2231" i="1"/>
  <c r="O2231" i="1" a="1"/>
  <c r="N2231" i="1"/>
  <c r="M2231" i="1"/>
  <c r="O2230" i="1"/>
  <c r="O2230" i="1" a="1"/>
  <c r="N2230" i="1"/>
  <c r="M2230" i="1"/>
  <c r="O2229" i="1"/>
  <c r="O2229" i="1" a="1"/>
  <c r="N2229" i="1"/>
  <c r="M2229" i="1"/>
  <c r="O2228" i="1"/>
  <c r="O2228" i="1" a="1"/>
  <c r="N2228" i="1"/>
  <c r="M2228" i="1"/>
  <c r="O2227" i="1"/>
  <c r="O2227" i="1" a="1"/>
  <c r="N2227" i="1"/>
  <c r="M2227" i="1"/>
  <c r="O2226" i="1"/>
  <c r="O2226" i="1" a="1"/>
  <c r="N2226" i="1"/>
  <c r="M2226" i="1"/>
  <c r="O2225" i="1"/>
  <c r="O2225" i="1" a="1"/>
  <c r="N2225" i="1"/>
  <c r="M2225" i="1"/>
  <c r="O2224" i="1"/>
  <c r="O2224" i="1" a="1"/>
  <c r="N2224" i="1"/>
  <c r="M2224" i="1"/>
  <c r="O2223" i="1"/>
  <c r="O2223" i="1" a="1"/>
  <c r="N2223" i="1"/>
  <c r="M2223" i="1"/>
  <c r="O2222" i="1"/>
  <c r="O2222" i="1" a="1"/>
  <c r="N2222" i="1"/>
  <c r="M2222" i="1"/>
  <c r="O2221" i="1"/>
  <c r="O2221" i="1" a="1"/>
  <c r="N2221" i="1"/>
  <c r="M2221" i="1"/>
  <c r="O2220" i="1"/>
  <c r="O2220" i="1" a="1"/>
  <c r="N2220" i="1"/>
  <c r="M2220" i="1"/>
  <c r="O2219" i="1"/>
  <c r="O2219" i="1" a="1"/>
  <c r="N2219" i="1"/>
  <c r="M2219" i="1"/>
  <c r="O2218" i="1"/>
  <c r="O2218" i="1" a="1"/>
  <c r="N2218" i="1"/>
  <c r="M2218" i="1"/>
  <c r="O2217" i="1"/>
  <c r="O2217" i="1" a="1"/>
  <c r="N2217" i="1"/>
  <c r="M2217" i="1"/>
  <c r="O2216" i="1"/>
  <c r="O2216" i="1" a="1"/>
  <c r="N2216" i="1"/>
  <c r="M2216" i="1"/>
  <c r="O2215" i="1"/>
  <c r="O2215" i="1" a="1"/>
  <c r="N2215" i="1"/>
  <c r="M2215" i="1"/>
  <c r="O2214" i="1"/>
  <c r="O2214" i="1" a="1"/>
  <c r="N2214" i="1"/>
  <c r="M2214" i="1"/>
  <c r="O2213" i="1"/>
  <c r="O2213" i="1" a="1"/>
  <c r="N2213" i="1"/>
  <c r="M2213" i="1"/>
  <c r="O2212" i="1"/>
  <c r="O2212" i="1" a="1"/>
  <c r="N2212" i="1"/>
  <c r="M2212" i="1"/>
  <c r="O2211" i="1"/>
  <c r="O2211" i="1" a="1"/>
  <c r="N2211" i="1"/>
  <c r="M2211" i="1"/>
  <c r="O2210" i="1"/>
  <c r="O2210" i="1" a="1"/>
  <c r="N2210" i="1"/>
  <c r="M2210" i="1"/>
  <c r="O2209" i="1"/>
  <c r="O2209" i="1" a="1"/>
  <c r="N2209" i="1"/>
  <c r="M2209" i="1"/>
  <c r="O2208" i="1"/>
  <c r="O2208" i="1" a="1"/>
  <c r="N2208" i="1"/>
  <c r="M2208" i="1"/>
  <c r="O2207" i="1"/>
  <c r="O2207" i="1" a="1"/>
  <c r="N2207" i="1"/>
  <c r="M2207" i="1"/>
  <c r="O2206" i="1"/>
  <c r="O2206" i="1" a="1"/>
  <c r="N2206" i="1"/>
  <c r="M2206" i="1"/>
  <c r="O2205" i="1"/>
  <c r="O2205" i="1" a="1"/>
  <c r="N2205" i="1"/>
  <c r="M2205" i="1"/>
  <c r="O2204" i="1"/>
  <c r="O2204" i="1" a="1"/>
  <c r="N2204" i="1"/>
  <c r="M2204" i="1"/>
  <c r="O2203" i="1"/>
  <c r="O2203" i="1" a="1"/>
  <c r="N2203" i="1"/>
  <c r="M2203" i="1"/>
  <c r="O2202" i="1"/>
  <c r="O2202" i="1" a="1"/>
  <c r="N2202" i="1"/>
  <c r="M2202" i="1"/>
  <c r="O2201" i="1"/>
  <c r="O2201" i="1" a="1"/>
  <c r="N2201" i="1"/>
  <c r="M2201" i="1"/>
  <c r="O2200" i="1"/>
  <c r="O2200" i="1" a="1"/>
  <c r="N2200" i="1"/>
  <c r="M2200" i="1"/>
  <c r="O2199" i="1"/>
  <c r="O2199" i="1" a="1"/>
  <c r="N2199" i="1"/>
  <c r="M2199" i="1"/>
  <c r="O2198" i="1"/>
  <c r="O2198" i="1" a="1"/>
  <c r="N2198" i="1"/>
  <c r="M2198" i="1"/>
  <c r="O2197" i="1"/>
  <c r="O2197" i="1" a="1"/>
  <c r="N2197" i="1"/>
  <c r="M2197" i="1"/>
  <c r="O2196" i="1"/>
  <c r="O2196" i="1" a="1"/>
  <c r="N2196" i="1"/>
  <c r="M2196" i="1"/>
  <c r="O2195" i="1"/>
  <c r="O2195" i="1" a="1"/>
  <c r="N2195" i="1"/>
  <c r="M2195" i="1"/>
  <c r="O2194" i="1"/>
  <c r="O2194" i="1" a="1"/>
  <c r="N2194" i="1"/>
  <c r="M2194" i="1"/>
  <c r="O2193" i="1"/>
  <c r="O2193" i="1" a="1"/>
  <c r="N2193" i="1"/>
  <c r="M2193" i="1"/>
  <c r="O2192" i="1"/>
  <c r="O2192" i="1" a="1"/>
  <c r="N2192" i="1"/>
  <c r="M2192" i="1"/>
  <c r="O2191" i="1"/>
  <c r="O2191" i="1" a="1"/>
  <c r="N2191" i="1"/>
  <c r="M2191" i="1"/>
  <c r="O2190" i="1"/>
  <c r="O2190" i="1" a="1"/>
  <c r="N2190" i="1"/>
  <c r="M2190" i="1"/>
  <c r="O2189" i="1"/>
  <c r="O2189" i="1" a="1"/>
  <c r="N2189" i="1"/>
  <c r="M2189" i="1"/>
  <c r="O2188" i="1"/>
  <c r="O2188" i="1" a="1"/>
  <c r="N2188" i="1"/>
  <c r="M2188" i="1"/>
  <c r="O2187" i="1"/>
  <c r="O2187" i="1" a="1"/>
  <c r="N2187" i="1"/>
  <c r="M2187" i="1"/>
  <c r="O2186" i="1"/>
  <c r="O2186" i="1" a="1"/>
  <c r="N2186" i="1"/>
  <c r="M2186" i="1"/>
  <c r="O2185" i="1"/>
  <c r="O2185" i="1" a="1"/>
  <c r="N2185" i="1"/>
  <c r="M2185" i="1"/>
  <c r="O2184" i="1"/>
  <c r="O2184" i="1" a="1"/>
  <c r="N2184" i="1"/>
  <c r="M2184" i="1"/>
  <c r="O2183" i="1"/>
  <c r="O2183" i="1" a="1"/>
  <c r="N2183" i="1"/>
  <c r="M2183" i="1"/>
  <c r="O2182" i="1"/>
  <c r="O2182" i="1" a="1"/>
  <c r="N2182" i="1"/>
  <c r="M2182" i="1"/>
  <c r="O2181" i="1"/>
  <c r="O2181" i="1" a="1"/>
  <c r="N2181" i="1"/>
  <c r="M2181" i="1"/>
  <c r="O2180" i="1"/>
  <c r="O2180" i="1" a="1"/>
  <c r="N2180" i="1"/>
  <c r="M2180" i="1"/>
  <c r="O2179" i="1"/>
  <c r="O2179" i="1" a="1"/>
  <c r="N2179" i="1"/>
  <c r="M2179" i="1"/>
  <c r="O2178" i="1"/>
  <c r="O2178" i="1" a="1"/>
  <c r="N2178" i="1"/>
  <c r="M2178" i="1"/>
  <c r="O2177" i="1"/>
  <c r="O2177" i="1" a="1"/>
  <c r="N2177" i="1"/>
  <c r="M2177" i="1"/>
  <c r="O2176" i="1"/>
  <c r="O2176" i="1" a="1"/>
  <c r="N2176" i="1"/>
  <c r="M2176" i="1"/>
  <c r="O2175" i="1"/>
  <c r="O2175" i="1" a="1"/>
  <c r="N2175" i="1"/>
  <c r="M2175" i="1"/>
  <c r="O2174" i="1"/>
  <c r="O2174" i="1" a="1"/>
  <c r="N2174" i="1"/>
  <c r="M2174" i="1"/>
  <c r="O2173" i="1"/>
  <c r="O2173" i="1" a="1"/>
  <c r="N2173" i="1"/>
  <c r="M2173" i="1"/>
  <c r="O2172" i="1"/>
  <c r="O2172" i="1" a="1"/>
  <c r="N2172" i="1"/>
  <c r="M2172" i="1"/>
  <c r="O2171" i="1"/>
  <c r="O2171" i="1" a="1"/>
  <c r="N2171" i="1"/>
  <c r="M2171" i="1"/>
  <c r="O2170" i="1"/>
  <c r="O2170" i="1" a="1"/>
  <c r="N2170" i="1"/>
  <c r="M2170" i="1"/>
  <c r="O2169" i="1"/>
  <c r="O2169" i="1" a="1"/>
  <c r="N2169" i="1"/>
  <c r="M2169" i="1"/>
  <c r="O2168" i="1"/>
  <c r="O2168" i="1" a="1"/>
  <c r="N2168" i="1"/>
  <c r="M2168" i="1"/>
  <c r="O2167" i="1"/>
  <c r="O2167" i="1" a="1"/>
  <c r="N2167" i="1"/>
  <c r="M2167" i="1"/>
  <c r="O2166" i="1"/>
  <c r="O2166" i="1" a="1"/>
  <c r="N2166" i="1"/>
  <c r="M2166" i="1"/>
  <c r="O2165" i="1"/>
  <c r="O2165" i="1" a="1"/>
  <c r="N2165" i="1"/>
  <c r="M2165" i="1"/>
  <c r="O2164" i="1"/>
  <c r="O2164" i="1" a="1"/>
  <c r="N2164" i="1"/>
  <c r="M2164" i="1"/>
  <c r="O2163" i="1"/>
  <c r="O2163" i="1" a="1"/>
  <c r="N2163" i="1"/>
  <c r="M2163" i="1"/>
  <c r="O2162" i="1"/>
  <c r="O2162" i="1" a="1"/>
  <c r="N2162" i="1"/>
  <c r="M2162" i="1"/>
  <c r="O2161" i="1"/>
  <c r="O2161" i="1" a="1"/>
  <c r="N2161" i="1"/>
  <c r="M2161" i="1"/>
  <c r="O2160" i="1"/>
  <c r="O2160" i="1" a="1"/>
  <c r="N2160" i="1"/>
  <c r="M2160" i="1"/>
  <c r="O2159" i="1"/>
  <c r="O2159" i="1" a="1"/>
  <c r="N2159" i="1"/>
  <c r="M2159" i="1"/>
  <c r="O2158" i="1"/>
  <c r="O2158" i="1" a="1"/>
  <c r="N2158" i="1"/>
  <c r="M2158" i="1"/>
  <c r="O2157" i="1"/>
  <c r="O2157" i="1" a="1"/>
  <c r="N2157" i="1"/>
  <c r="M2157" i="1"/>
  <c r="O2156" i="1"/>
  <c r="O2156" i="1" a="1"/>
  <c r="N2156" i="1"/>
  <c r="M2156" i="1"/>
  <c r="O2155" i="1"/>
  <c r="O2155" i="1" a="1"/>
  <c r="N2155" i="1"/>
  <c r="M2155" i="1"/>
  <c r="O2154" i="1"/>
  <c r="O2154" i="1" a="1"/>
  <c r="N2154" i="1"/>
  <c r="M2154" i="1"/>
  <c r="O2153" i="1"/>
  <c r="O2153" i="1" a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/>
  <c r="O2149" i="1" a="1"/>
  <c r="N2149" i="1"/>
  <c r="M2149" i="1"/>
  <c r="O2148" i="1"/>
  <c r="O2148" i="1" a="1"/>
  <c r="N2148" i="1"/>
  <c r="M2148" i="1"/>
  <c r="O2147" i="1"/>
  <c r="O2147" i="1" a="1"/>
  <c r="N2147" i="1"/>
  <c r="M2147" i="1"/>
  <c r="O2146" i="1"/>
  <c r="O2146" i="1" a="1"/>
  <c r="N2146" i="1"/>
  <c r="M2146" i="1"/>
  <c r="O2145" i="1"/>
  <c r="O2145" i="1" a="1"/>
  <c r="N2145" i="1"/>
  <c r="M2145" i="1"/>
  <c r="O2144" i="1"/>
  <c r="O2144" i="1" a="1"/>
  <c r="N2144" i="1"/>
  <c r="M2144" i="1"/>
  <c r="O2143" i="1"/>
  <c r="O2143" i="1" a="1"/>
  <c r="N2143" i="1"/>
  <c r="M2143" i="1"/>
  <c r="O2142" i="1"/>
  <c r="O2142" i="1" a="1"/>
  <c r="N2142" i="1"/>
  <c r="M2142" i="1"/>
  <c r="O2141" i="1"/>
  <c r="O2141" i="1" a="1"/>
  <c r="N2141" i="1"/>
  <c r="M2141" i="1"/>
  <c r="O2140" i="1"/>
  <c r="O2140" i="1" a="1"/>
  <c r="N2140" i="1"/>
  <c r="M2140" i="1"/>
  <c r="O2139" i="1"/>
  <c r="O2139" i="1" a="1"/>
  <c r="N2139" i="1"/>
  <c r="M2139" i="1"/>
  <c r="O2138" i="1"/>
  <c r="O2138" i="1" a="1"/>
  <c r="N2138" i="1"/>
  <c r="M2138" i="1"/>
  <c r="O2137" i="1"/>
  <c r="O2137" i="1" a="1"/>
  <c r="N2137" i="1"/>
  <c r="M2137" i="1"/>
  <c r="O2136" i="1"/>
  <c r="O2136" i="1" a="1"/>
  <c r="N2136" i="1"/>
  <c r="M2136" i="1"/>
  <c r="O2135" i="1"/>
  <c r="O2135" i="1" a="1"/>
  <c r="N2135" i="1"/>
  <c r="M2135" i="1"/>
  <c r="O2134" i="1"/>
  <c r="O2134" i="1" a="1"/>
  <c r="N2134" i="1"/>
  <c r="M2134" i="1"/>
  <c r="O2133" i="1"/>
  <c r="O2133" i="1" a="1"/>
  <c r="N2133" i="1"/>
  <c r="M2133" i="1"/>
  <c r="O2132" i="1"/>
  <c r="O2132" i="1" a="1"/>
  <c r="N2132" i="1"/>
  <c r="M2132" i="1"/>
  <c r="O2131" i="1"/>
  <c r="O2131" i="1" a="1"/>
  <c r="N2131" i="1"/>
  <c r="M2131" i="1"/>
  <c r="O2130" i="1"/>
  <c r="O2130" i="1" a="1"/>
  <c r="N2130" i="1"/>
  <c r="M2130" i="1"/>
  <c r="O2129" i="1"/>
  <c r="O2129" i="1" a="1"/>
  <c r="N2129" i="1"/>
  <c r="M2129" i="1"/>
  <c r="O2128" i="1"/>
  <c r="O2128" i="1" a="1"/>
  <c r="N2128" i="1"/>
  <c r="M2128" i="1"/>
  <c r="O2127" i="1"/>
  <c r="O2127" i="1" a="1"/>
  <c r="N2127" i="1"/>
  <c r="M2127" i="1"/>
  <c r="O2126" i="1"/>
  <c r="O2126" i="1" a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/>
  <c r="O2122" i="1" a="1"/>
  <c r="N2122" i="1"/>
  <c r="M2122" i="1"/>
  <c r="O2121" i="1"/>
  <c r="O2121" i="1" a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/>
  <c r="O2117" i="1" a="1"/>
  <c r="N2117" i="1"/>
  <c r="M2117" i="1"/>
  <c r="O2116" i="1"/>
  <c r="O2116" i="1" a="1"/>
  <c r="N2116" i="1"/>
  <c r="M2116" i="1"/>
  <c r="O2115" i="1"/>
  <c r="O2115" i="1" a="1"/>
  <c r="N2115" i="1"/>
  <c r="M2115" i="1"/>
  <c r="O2114" i="1"/>
  <c r="O2114" i="1" a="1"/>
  <c r="N2114" i="1"/>
  <c r="M2114" i="1"/>
  <c r="O2113" i="1"/>
  <c r="O2113" i="1" a="1"/>
  <c r="N2113" i="1"/>
  <c r="M2113" i="1"/>
  <c r="O2112" i="1"/>
  <c r="O2112" i="1" a="1"/>
  <c r="N2112" i="1"/>
  <c r="M2112" i="1"/>
  <c r="O2111" i="1"/>
  <c r="O2111" i="1" a="1"/>
  <c r="N2111" i="1"/>
  <c r="M2111" i="1"/>
  <c r="O2110" i="1"/>
  <c r="O2110" i="1" a="1"/>
  <c r="N2110" i="1"/>
  <c r="M2110" i="1"/>
  <c r="O2109" i="1"/>
  <c r="O2109" i="1" a="1"/>
  <c r="N2109" i="1"/>
  <c r="M2109" i="1"/>
  <c r="O2108" i="1"/>
  <c r="O2108" i="1" a="1"/>
  <c r="N2108" i="1"/>
  <c r="M2108" i="1"/>
  <c r="O2107" i="1"/>
  <c r="O2107" i="1" a="1"/>
  <c r="N2107" i="1"/>
  <c r="M2107" i="1"/>
  <c r="O2106" i="1"/>
  <c r="O2106" i="1" a="1"/>
  <c r="N2106" i="1"/>
  <c r="M2106" i="1"/>
  <c r="O2105" i="1"/>
  <c r="O2105" i="1" a="1"/>
  <c r="N2105" i="1"/>
  <c r="M2105" i="1"/>
  <c r="O2104" i="1"/>
  <c r="O2104" i="1" a="1"/>
  <c r="N2104" i="1"/>
  <c r="M2104" i="1"/>
  <c r="O2103" i="1"/>
  <c r="O2103" i="1" a="1"/>
  <c r="N2103" i="1"/>
  <c r="M2103" i="1"/>
  <c r="O2102" i="1"/>
  <c r="O2102" i="1" a="1"/>
  <c r="N2102" i="1"/>
  <c r="M2102" i="1"/>
  <c r="O2101" i="1"/>
  <c r="O2101" i="1" a="1"/>
  <c r="N2101" i="1"/>
  <c r="M2101" i="1"/>
  <c r="O2100" i="1"/>
  <c r="O2100" i="1" a="1"/>
  <c r="N2100" i="1"/>
  <c r="M2100" i="1"/>
  <c r="O2099" i="1"/>
  <c r="O2099" i="1" a="1"/>
  <c r="N2099" i="1"/>
  <c r="M2099" i="1"/>
  <c r="O2098" i="1"/>
  <c r="O2098" i="1" a="1"/>
  <c r="N2098" i="1"/>
  <c r="M2098" i="1"/>
  <c r="O2097" i="1"/>
  <c r="O2097" i="1" a="1"/>
  <c r="N2097" i="1"/>
  <c r="M2097" i="1"/>
  <c r="O2096" i="1"/>
  <c r="O2096" i="1" a="1"/>
  <c r="N2096" i="1"/>
  <c r="M2096" i="1"/>
  <c r="O2095" i="1"/>
  <c r="O2095" i="1" a="1"/>
  <c r="N2095" i="1"/>
  <c r="M2095" i="1"/>
  <c r="O2094" i="1"/>
  <c r="O2094" i="1" a="1"/>
  <c r="N2094" i="1"/>
  <c r="M2094" i="1"/>
  <c r="O2093" i="1"/>
  <c r="O2093" i="1" a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/>
  <c r="O2088" i="1" a="1"/>
  <c r="N2088" i="1"/>
  <c r="M2088" i="1"/>
  <c r="O2087" i="1"/>
  <c r="O2087" i="1" a="1"/>
  <c r="N2087" i="1"/>
  <c r="M2087" i="1"/>
  <c r="O2086" i="1"/>
  <c r="O2086" i="1" a="1"/>
  <c r="N2086" i="1"/>
  <c r="M2086" i="1"/>
  <c r="O2085" i="1"/>
  <c r="O2085" i="1" a="1"/>
  <c r="N2085" i="1"/>
  <c r="M2085" i="1"/>
  <c r="O2084" i="1"/>
  <c r="O2084" i="1" a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/>
  <c r="O2079" i="1" a="1"/>
  <c r="N2079" i="1"/>
  <c r="M2079" i="1"/>
  <c r="O2078" i="1"/>
  <c r="O2078" i="1" a="1"/>
  <c r="N2078" i="1"/>
  <c r="M2078" i="1"/>
  <c r="O2077" i="1"/>
  <c r="O2077" i="1" a="1"/>
  <c r="N2077" i="1"/>
  <c r="M2077" i="1"/>
  <c r="O2076" i="1"/>
  <c r="O2076" i="1" a="1"/>
  <c r="N2076" i="1"/>
  <c r="M2076" i="1"/>
  <c r="O2075" i="1"/>
  <c r="O2075" i="1" a="1"/>
  <c r="N2075" i="1"/>
  <c r="M2075" i="1"/>
  <c r="O2074" i="1"/>
  <c r="O2074" i="1" a="1"/>
  <c r="N2074" i="1"/>
  <c r="M2074" i="1"/>
  <c r="O2073" i="1"/>
  <c r="O2073" i="1" a="1"/>
  <c r="N2073" i="1"/>
  <c r="M2073" i="1"/>
  <c r="O2072" i="1"/>
  <c r="O2072" i="1" a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/>
  <c r="O2065" i="1" a="1"/>
  <c r="N2065" i="1"/>
  <c r="M2065" i="1"/>
  <c r="O2064" i="1"/>
  <c r="O2064" i="1" a="1"/>
  <c r="N2064" i="1"/>
  <c r="M2064" i="1"/>
  <c r="O2063" i="1"/>
  <c r="O2063" i="1" a="1"/>
  <c r="N2063" i="1"/>
  <c r="M2063" i="1"/>
  <c r="O2062" i="1"/>
  <c r="O2062" i="1" a="1"/>
  <c r="N2062" i="1"/>
  <c r="M2062" i="1"/>
  <c r="O2061" i="1"/>
  <c r="O2061" i="1" a="1"/>
  <c r="N2061" i="1"/>
  <c r="M2061" i="1"/>
  <c r="O2060" i="1"/>
  <c r="O2060" i="1" a="1"/>
  <c r="N2060" i="1"/>
  <c r="M2060" i="1"/>
  <c r="O2059" i="1"/>
  <c r="O2059" i="1" a="1"/>
  <c r="N2059" i="1"/>
  <c r="M2059" i="1"/>
  <c r="O2058" i="1"/>
  <c r="O2058" i="1" a="1"/>
  <c r="N2058" i="1"/>
  <c r="M2058" i="1"/>
  <c r="O2057" i="1"/>
  <c r="O2057" i="1" a="1"/>
  <c r="N2057" i="1"/>
  <c r="M2057" i="1"/>
  <c r="O2056" i="1"/>
  <c r="O2056" i="1" a="1"/>
  <c r="N2056" i="1"/>
  <c r="M2056" i="1"/>
  <c r="O2055" i="1"/>
  <c r="O2055" i="1" a="1"/>
  <c r="N2055" i="1"/>
  <c r="M2055" i="1"/>
  <c r="O2054" i="1"/>
  <c r="O2054" i="1" a="1"/>
  <c r="N2054" i="1"/>
  <c r="M2054" i="1"/>
  <c r="O2053" i="1"/>
  <c r="O2053" i="1" a="1"/>
  <c r="N2053" i="1"/>
  <c r="M2053" i="1"/>
  <c r="O2052" i="1"/>
  <c r="O2052" i="1" a="1"/>
  <c r="N2052" i="1"/>
  <c r="M2052" i="1"/>
  <c r="O2051" i="1"/>
  <c r="O2051" i="1" a="1"/>
  <c r="N2051" i="1"/>
  <c r="M2051" i="1"/>
  <c r="O2050" i="1"/>
  <c r="O2050" i="1" a="1"/>
  <c r="N2050" i="1"/>
  <c r="M2050" i="1"/>
  <c r="O2049" i="1"/>
  <c r="O2049" i="1" a="1"/>
  <c r="N2049" i="1"/>
  <c r="M2049" i="1"/>
  <c r="O2048" i="1"/>
  <c r="O2048" i="1" a="1"/>
  <c r="N2048" i="1"/>
  <c r="M2048" i="1"/>
  <c r="O2047" i="1"/>
  <c r="O2047" i="1" a="1"/>
  <c r="N2047" i="1"/>
  <c r="M2047" i="1"/>
  <c r="O2046" i="1"/>
  <c r="O2046" i="1" a="1"/>
  <c r="N2046" i="1"/>
  <c r="M2046" i="1"/>
  <c r="O2045" i="1"/>
  <c r="O2045" i="1" a="1"/>
  <c r="N2045" i="1"/>
  <c r="M2045" i="1"/>
  <c r="O2044" i="1"/>
  <c r="O2044" i="1" a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/>
  <c r="O2040" i="1" a="1"/>
  <c r="N2040" i="1"/>
  <c r="M2040" i="1"/>
  <c r="O2039" i="1"/>
  <c r="O2039" i="1" a="1"/>
  <c r="N2039" i="1"/>
  <c r="M2039" i="1"/>
  <c r="O2038" i="1"/>
  <c r="O2038" i="1" a="1"/>
  <c r="N2038" i="1"/>
  <c r="M2038" i="1"/>
  <c r="O2037" i="1"/>
  <c r="O2037" i="1" a="1"/>
  <c r="N2037" i="1"/>
  <c r="M2037" i="1"/>
  <c r="O2036" i="1"/>
  <c r="O2036" i="1" a="1"/>
  <c r="N2036" i="1"/>
  <c r="M2036" i="1"/>
  <c r="O2035" i="1"/>
  <c r="O2035" i="1" a="1"/>
  <c r="N2035" i="1"/>
  <c r="M2035" i="1"/>
  <c r="O2034" i="1"/>
  <c r="O2034" i="1" a="1"/>
  <c r="N2034" i="1"/>
  <c r="M2034" i="1"/>
  <c r="O2033" i="1"/>
  <c r="O2033" i="1" a="1"/>
  <c r="N2033" i="1"/>
  <c r="M2033" i="1"/>
  <c r="O2032" i="1"/>
  <c r="O2032" i="1" a="1"/>
  <c r="N2032" i="1"/>
  <c r="M2032" i="1"/>
  <c r="O2031" i="1"/>
  <c r="O2031" i="1" a="1"/>
  <c r="N2031" i="1"/>
  <c r="M2031" i="1"/>
  <c r="O2030" i="1"/>
  <c r="O2030" i="1" a="1"/>
  <c r="N2030" i="1"/>
  <c r="M2030" i="1"/>
  <c r="O2029" i="1"/>
  <c r="O2029" i="1" a="1"/>
  <c r="N2029" i="1"/>
  <c r="M2029" i="1"/>
  <c r="O2028" i="1"/>
  <c r="O2028" i="1" a="1"/>
  <c r="N2028" i="1"/>
  <c r="M2028" i="1"/>
  <c r="O2027" i="1"/>
  <c r="O2027" i="1" a="1"/>
  <c r="N2027" i="1"/>
  <c r="M2027" i="1"/>
  <c r="O2026" i="1"/>
  <c r="O2026" i="1" a="1"/>
  <c r="N2026" i="1"/>
  <c r="M2026" i="1"/>
  <c r="O2025" i="1"/>
  <c r="O2025" i="1" a="1"/>
  <c r="N2025" i="1"/>
  <c r="M2025" i="1"/>
  <c r="O2024" i="1"/>
  <c r="O2024" i="1" a="1"/>
  <c r="N2024" i="1"/>
  <c r="M2024" i="1"/>
  <c r="O2023" i="1"/>
  <c r="O2023" i="1" a="1"/>
  <c r="N2023" i="1"/>
  <c r="M2023" i="1"/>
  <c r="O2022" i="1"/>
  <c r="O2022" i="1" a="1"/>
  <c r="N2022" i="1"/>
  <c r="M2022" i="1"/>
  <c r="O2021" i="1"/>
  <c r="O2021" i="1" a="1"/>
  <c r="N2021" i="1"/>
  <c r="M2021" i="1"/>
  <c r="O2020" i="1"/>
  <c r="O2020" i="1" a="1"/>
  <c r="N2020" i="1"/>
  <c r="M2020" i="1"/>
  <c r="O2019" i="1"/>
  <c r="O2019" i="1" a="1"/>
  <c r="N2019" i="1"/>
  <c r="M2019" i="1"/>
  <c r="O2018" i="1"/>
  <c r="O2018" i="1" a="1"/>
  <c r="N2018" i="1"/>
  <c r="M2018" i="1"/>
  <c r="O2017" i="1"/>
  <c r="O2017" i="1" a="1"/>
  <c r="N2017" i="1"/>
  <c r="M2017" i="1"/>
  <c r="O2016" i="1"/>
  <c r="O2016" i="1" a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/>
  <c r="O2011" i="1" a="1"/>
  <c r="N2011" i="1"/>
  <c r="M2011" i="1"/>
  <c r="O2010" i="1"/>
  <c r="O2010" i="1" a="1"/>
  <c r="N2010" i="1"/>
  <c r="M2010" i="1"/>
  <c r="O2009" i="1"/>
  <c r="O2009" i="1" a="1"/>
  <c r="N2009" i="1"/>
  <c r="M2009" i="1"/>
  <c r="O2008" i="1"/>
  <c r="O2008" i="1" a="1"/>
  <c r="N2008" i="1"/>
  <c r="M2008" i="1"/>
  <c r="O2007" i="1"/>
  <c r="O2007" i="1" a="1"/>
  <c r="N2007" i="1"/>
  <c r="M2007" i="1"/>
  <c r="O2006" i="1"/>
  <c r="O2006" i="1" a="1"/>
  <c r="N2006" i="1"/>
  <c r="M2006" i="1"/>
  <c r="O2005" i="1"/>
  <c r="O2005" i="1" a="1"/>
  <c r="N2005" i="1"/>
  <c r="M2005" i="1"/>
  <c r="O2004" i="1"/>
  <c r="O2004" i="1" a="1"/>
  <c r="N2004" i="1"/>
  <c r="M2004" i="1"/>
  <c r="O2003" i="1"/>
  <c r="O2003" i="1" a="1"/>
  <c r="N2003" i="1"/>
  <c r="M2003" i="1"/>
  <c r="O2002" i="1"/>
  <c r="O2002" i="1" a="1"/>
  <c r="N2002" i="1"/>
  <c r="M2002" i="1"/>
  <c r="O2001" i="1"/>
  <c r="O2001" i="1" a="1"/>
  <c r="N2001" i="1"/>
  <c r="M2001" i="1"/>
  <c r="O2000" i="1"/>
  <c r="O2000" i="1" a="1"/>
  <c r="N2000" i="1"/>
  <c r="M2000" i="1"/>
  <c r="O1999" i="1"/>
  <c r="O1999" i="1" a="1"/>
  <c r="N1999" i="1"/>
  <c r="M1999" i="1"/>
  <c r="O1998" i="1"/>
  <c r="O1998" i="1" a="1"/>
  <c r="N1998" i="1"/>
  <c r="M1998" i="1"/>
  <c r="O1997" i="1"/>
  <c r="O1997" i="1" a="1"/>
  <c r="N1997" i="1"/>
  <c r="M1997" i="1"/>
  <c r="O1996" i="1"/>
  <c r="O1996" i="1" a="1"/>
  <c r="N1996" i="1"/>
  <c r="M1996" i="1"/>
  <c r="O1995" i="1"/>
  <c r="O1995" i="1" a="1"/>
  <c r="N1995" i="1"/>
  <c r="M1995" i="1"/>
  <c r="O1994" i="1"/>
  <c r="O1994" i="1" a="1"/>
  <c r="N1994" i="1"/>
  <c r="M1994" i="1"/>
  <c r="O1993" i="1"/>
  <c r="O1993" i="1" a="1"/>
  <c r="N1993" i="1"/>
  <c r="M1993" i="1"/>
  <c r="O1992" i="1"/>
  <c r="O1992" i="1" a="1"/>
  <c r="N1992" i="1"/>
  <c r="M1992" i="1"/>
  <c r="O1991" i="1"/>
  <c r="O1991" i="1" a="1"/>
  <c r="N1991" i="1"/>
  <c r="M1991" i="1"/>
  <c r="O1990" i="1"/>
  <c r="O1990" i="1" a="1"/>
  <c r="N1990" i="1"/>
  <c r="M1990" i="1"/>
  <c r="O1989" i="1"/>
  <c r="O1989" i="1" a="1"/>
  <c r="N1989" i="1"/>
  <c r="M1989" i="1"/>
  <c r="O1988" i="1"/>
  <c r="O1988" i="1" a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/>
  <c r="O1984" i="1" a="1"/>
  <c r="N1984" i="1"/>
  <c r="M1984" i="1"/>
  <c r="O1983" i="1"/>
  <c r="O1983" i="1" a="1"/>
  <c r="N1983" i="1"/>
  <c r="M1983" i="1"/>
  <c r="O1982" i="1"/>
  <c r="O1982" i="1" a="1"/>
  <c r="N1982" i="1"/>
  <c r="M1982" i="1"/>
  <c r="O1981" i="1"/>
  <c r="O1981" i="1" a="1"/>
  <c r="N1981" i="1"/>
  <c r="M1981" i="1"/>
  <c r="O1980" i="1"/>
  <c r="O1980" i="1" a="1"/>
  <c r="N1980" i="1"/>
  <c r="M1980" i="1"/>
  <c r="O1979" i="1"/>
  <c r="O1979" i="1" a="1"/>
  <c r="N1979" i="1"/>
  <c r="M1979" i="1"/>
  <c r="O1978" i="1"/>
  <c r="O1978" i="1" a="1"/>
  <c r="N1978" i="1"/>
  <c r="M1978" i="1"/>
  <c r="O1977" i="1"/>
  <c r="O1977" i="1" a="1"/>
  <c r="N1977" i="1"/>
  <c r="M1977" i="1"/>
  <c r="O1976" i="1"/>
  <c r="O1976" i="1" a="1"/>
  <c r="N1976" i="1"/>
  <c r="M1976" i="1"/>
  <c r="O1975" i="1"/>
  <c r="O1975" i="1" a="1"/>
  <c r="N1975" i="1"/>
  <c r="M1975" i="1"/>
  <c r="O1974" i="1"/>
  <c r="O1974" i="1" a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/>
  <c r="O1970" i="1" a="1"/>
  <c r="N1970" i="1"/>
  <c r="M1970" i="1"/>
  <c r="O1969" i="1"/>
  <c r="O1969" i="1" a="1"/>
  <c r="N1969" i="1"/>
  <c r="M1969" i="1"/>
  <c r="O1968" i="1"/>
  <c r="O1968" i="1" a="1"/>
  <c r="N1968" i="1"/>
  <c r="M1968" i="1"/>
  <c r="O1967" i="1"/>
  <c r="O1967" i="1" a="1"/>
  <c r="N1967" i="1"/>
  <c r="M1967" i="1"/>
  <c r="O1966" i="1"/>
  <c r="O1966" i="1" a="1"/>
  <c r="N1966" i="1"/>
  <c r="M1966" i="1"/>
  <c r="O1965" i="1"/>
  <c r="O1965" i="1" a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/>
  <c r="O1961" i="1" a="1"/>
  <c r="N1961" i="1"/>
  <c r="M1961" i="1"/>
  <c r="O1960" i="1"/>
  <c r="O1960" i="1" a="1"/>
  <c r="N1960" i="1"/>
  <c r="M1960" i="1"/>
  <c r="O1959" i="1"/>
  <c r="O1959" i="1" a="1"/>
  <c r="N1959" i="1"/>
  <c r="M1959" i="1"/>
  <c r="O1958" i="1"/>
  <c r="O1958" i="1" a="1"/>
  <c r="N1958" i="1"/>
  <c r="M1958" i="1"/>
  <c r="O1957" i="1"/>
  <c r="O1957" i="1" a="1"/>
  <c r="N1957" i="1"/>
  <c r="M1957" i="1"/>
  <c r="O1956" i="1"/>
  <c r="O1956" i="1" a="1"/>
  <c r="N1956" i="1"/>
  <c r="M1956" i="1"/>
  <c r="O1955" i="1"/>
  <c r="O1955" i="1" a="1"/>
  <c r="N1955" i="1"/>
  <c r="M1955" i="1"/>
  <c r="O1954" i="1"/>
  <c r="O1954" i="1" a="1"/>
  <c r="N1954" i="1"/>
  <c r="M1954" i="1"/>
  <c r="O1953" i="1"/>
  <c r="O1953" i="1" a="1"/>
  <c r="N1953" i="1"/>
  <c r="M1953" i="1"/>
  <c r="O1952" i="1"/>
  <c r="O1952" i="1" a="1"/>
  <c r="N1952" i="1"/>
  <c r="M1952" i="1"/>
  <c r="O1951" i="1"/>
  <c r="O1951" i="1" a="1"/>
  <c r="N1951" i="1"/>
  <c r="M1951" i="1"/>
  <c r="O1950" i="1"/>
  <c r="O1950" i="1" a="1"/>
  <c r="N1950" i="1"/>
  <c r="M1950" i="1"/>
  <c r="O1949" i="1"/>
  <c r="O1949" i="1" a="1"/>
  <c r="N1949" i="1"/>
  <c r="M1949" i="1"/>
  <c r="O1948" i="1"/>
  <c r="O1948" i="1" a="1"/>
  <c r="N1948" i="1"/>
  <c r="M1948" i="1"/>
  <c r="O1947" i="1"/>
  <c r="O1947" i="1" a="1"/>
  <c r="N1947" i="1"/>
  <c r="M1947" i="1"/>
  <c r="O1946" i="1"/>
  <c r="O1946" i="1" a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/>
  <c r="O1942" i="1" a="1"/>
  <c r="N1942" i="1"/>
  <c r="M1942" i="1"/>
  <c r="O1941" i="1"/>
  <c r="O1941" i="1" a="1"/>
  <c r="N1941" i="1"/>
  <c r="M1941" i="1"/>
  <c r="O1940" i="1"/>
  <c r="O1940" i="1" a="1"/>
  <c r="N1940" i="1"/>
  <c r="M1940" i="1"/>
  <c r="O1939" i="1"/>
  <c r="O1939" i="1" a="1"/>
  <c r="N1939" i="1"/>
  <c r="M1939" i="1"/>
  <c r="O1938" i="1"/>
  <c r="O1938" i="1" a="1"/>
  <c r="N1938" i="1"/>
  <c r="M1938" i="1"/>
  <c r="O1937" i="1"/>
  <c r="O1937" i="1" a="1"/>
  <c r="N1937" i="1"/>
  <c r="M1937" i="1"/>
  <c r="O1936" i="1"/>
  <c r="O1936" i="1" a="1"/>
  <c r="N1936" i="1"/>
  <c r="M1936" i="1"/>
  <c r="O1935" i="1"/>
  <c r="O1935" i="1" a="1"/>
  <c r="N1935" i="1"/>
  <c r="M1935" i="1"/>
  <c r="O1934" i="1"/>
  <c r="O1934" i="1" a="1"/>
  <c r="N1934" i="1"/>
  <c r="M1934" i="1"/>
  <c r="O1933" i="1"/>
  <c r="O1933" i="1" a="1"/>
  <c r="N1933" i="1"/>
  <c r="M1933" i="1"/>
  <c r="O1932" i="1"/>
  <c r="O1932" i="1" a="1"/>
  <c r="N1932" i="1"/>
  <c r="M1932" i="1"/>
  <c r="O1931" i="1"/>
  <c r="O1931" i="1" a="1"/>
  <c r="N1931" i="1"/>
  <c r="M1931" i="1"/>
  <c r="O1930" i="1"/>
  <c r="O1930" i="1" a="1"/>
  <c r="N1930" i="1"/>
  <c r="M1930" i="1"/>
  <c r="O1929" i="1"/>
  <c r="O1929" i="1" a="1"/>
  <c r="N1929" i="1"/>
  <c r="M1929" i="1"/>
  <c r="O1928" i="1"/>
  <c r="O1928" i="1" a="1"/>
  <c r="N1928" i="1"/>
  <c r="M1928" i="1"/>
  <c r="O1927" i="1"/>
  <c r="O1927" i="1" a="1"/>
  <c r="N1927" i="1"/>
  <c r="M1927" i="1"/>
  <c r="O1926" i="1"/>
  <c r="O1926" i="1" a="1"/>
  <c r="N1926" i="1"/>
  <c r="M1926" i="1"/>
  <c r="O1925" i="1"/>
  <c r="O1925" i="1" a="1"/>
  <c r="N1925" i="1"/>
  <c r="M1925" i="1"/>
  <c r="O1924" i="1"/>
  <c r="O1924" i="1" a="1"/>
  <c r="N1924" i="1"/>
  <c r="M1924" i="1"/>
  <c r="O1923" i="1"/>
  <c r="O1923" i="1" a="1"/>
  <c r="N1923" i="1"/>
  <c r="M1923" i="1"/>
  <c r="O1922" i="1"/>
  <c r="O1922" i="1" a="1"/>
  <c r="N1922" i="1"/>
  <c r="M1922" i="1"/>
  <c r="O1921" i="1"/>
  <c r="O1921" i="1" a="1"/>
  <c r="N1921" i="1"/>
  <c r="M1921" i="1"/>
  <c r="O1920" i="1"/>
  <c r="O1920" i="1" a="1"/>
  <c r="N1920" i="1"/>
  <c r="M1920" i="1"/>
  <c r="O1919" i="1"/>
  <c r="O1919" i="1" a="1"/>
  <c r="N1919" i="1"/>
  <c r="M1919" i="1"/>
  <c r="O1918" i="1"/>
  <c r="O1918" i="1" a="1"/>
  <c r="N1918" i="1"/>
  <c r="M1918" i="1"/>
  <c r="O1917" i="1"/>
  <c r="O1917" i="1" a="1"/>
  <c r="N1917" i="1"/>
  <c r="M1917" i="1"/>
  <c r="O1916" i="1"/>
  <c r="O1916" i="1" a="1"/>
  <c r="N1916" i="1"/>
  <c r="M1916" i="1"/>
  <c r="O1915" i="1"/>
  <c r="O1915" i="1" a="1"/>
  <c r="N1915" i="1"/>
  <c r="M1915" i="1"/>
  <c r="O1914" i="1"/>
  <c r="O1914" i="1" a="1"/>
  <c r="N1914" i="1"/>
  <c r="M1914" i="1"/>
  <c r="O1913" i="1"/>
  <c r="O1913" i="1" a="1"/>
  <c r="N1913" i="1"/>
  <c r="M1913" i="1"/>
  <c r="O1912" i="1"/>
  <c r="O1912" i="1" a="1"/>
  <c r="N1912" i="1"/>
  <c r="M1912" i="1"/>
  <c r="O1911" i="1"/>
  <c r="O1911" i="1" a="1"/>
  <c r="N1911" i="1"/>
  <c r="M1911" i="1"/>
  <c r="O1910" i="1"/>
  <c r="O1910" i="1" a="1"/>
  <c r="N1910" i="1"/>
  <c r="M1910" i="1"/>
  <c r="O1909" i="1"/>
  <c r="O1909" i="1" a="1"/>
  <c r="N1909" i="1"/>
  <c r="M1909" i="1"/>
  <c r="O1908" i="1"/>
  <c r="O1908" i="1" a="1"/>
  <c r="N1908" i="1"/>
  <c r="M1908" i="1"/>
  <c r="O1907" i="1"/>
  <c r="O1907" i="1" a="1"/>
  <c r="N1907" i="1"/>
  <c r="M1907" i="1"/>
  <c r="O1906" i="1"/>
  <c r="O1906" i="1" a="1"/>
  <c r="N1906" i="1"/>
  <c r="M1906" i="1"/>
  <c r="O1905" i="1"/>
  <c r="O1905" i="1" a="1"/>
  <c r="N1905" i="1"/>
  <c r="M1905" i="1"/>
  <c r="O1904" i="1"/>
  <c r="O1904" i="1" a="1"/>
  <c r="N1904" i="1"/>
  <c r="M1904" i="1"/>
  <c r="O1903" i="1"/>
  <c r="O1903" i="1" a="1"/>
  <c r="N1903" i="1"/>
  <c r="M1903" i="1"/>
  <c r="O1902" i="1"/>
  <c r="O1902" i="1" a="1"/>
  <c r="N1902" i="1"/>
  <c r="M1902" i="1"/>
  <c r="O1901" i="1"/>
  <c r="O1901" i="1" a="1"/>
  <c r="N1901" i="1"/>
  <c r="M1901" i="1"/>
  <c r="O1900" i="1"/>
  <c r="O1900" i="1" a="1"/>
  <c r="N1900" i="1"/>
  <c r="M1900" i="1"/>
  <c r="O1899" i="1"/>
  <c r="O1899" i="1" a="1"/>
  <c r="N1899" i="1"/>
  <c r="M1899" i="1"/>
  <c r="O1898" i="1"/>
  <c r="O1898" i="1" a="1"/>
  <c r="N1898" i="1"/>
  <c r="M1898" i="1"/>
  <c r="O1897" i="1"/>
  <c r="O1897" i="1" a="1"/>
  <c r="N1897" i="1"/>
  <c r="M1897" i="1"/>
  <c r="O1896" i="1"/>
  <c r="O1896" i="1" a="1"/>
  <c r="N1896" i="1"/>
  <c r="M1896" i="1"/>
  <c r="O1895" i="1"/>
  <c r="O1895" i="1" a="1"/>
  <c r="N1895" i="1"/>
  <c r="M1895" i="1"/>
  <c r="O1894" i="1"/>
  <c r="O1894" i="1" a="1"/>
  <c r="N1894" i="1"/>
  <c r="M1894" i="1"/>
  <c r="O1893" i="1"/>
  <c r="O1893" i="1" a="1"/>
  <c r="N1893" i="1"/>
  <c r="M1893" i="1"/>
  <c r="O1892" i="1"/>
  <c r="O1892" i="1" a="1"/>
  <c r="N1892" i="1"/>
  <c r="M1892" i="1"/>
  <c r="O1891" i="1"/>
  <c r="O1891" i="1" a="1"/>
  <c r="N1891" i="1"/>
  <c r="M1891" i="1"/>
  <c r="O1890" i="1"/>
  <c r="O1890" i="1" a="1"/>
  <c r="N1890" i="1"/>
  <c r="M1890" i="1"/>
  <c r="O1889" i="1"/>
  <c r="O1889" i="1" a="1"/>
  <c r="N1889" i="1"/>
  <c r="M1889" i="1"/>
  <c r="O1888" i="1"/>
  <c r="O1888" i="1" a="1"/>
  <c r="N1888" i="1"/>
  <c r="M1888" i="1"/>
  <c r="O1887" i="1"/>
  <c r="O1887" i="1" a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/>
  <c r="O1883" i="1" a="1"/>
  <c r="N1883" i="1"/>
  <c r="M1883" i="1"/>
  <c r="O1882" i="1"/>
  <c r="O1882" i="1" a="1"/>
  <c r="N1882" i="1"/>
  <c r="M1882" i="1"/>
  <c r="O1881" i="1"/>
  <c r="O1881" i="1" a="1"/>
  <c r="N1881" i="1"/>
  <c r="M1881" i="1"/>
  <c r="O1880" i="1"/>
  <c r="O1880" i="1" a="1"/>
  <c r="N1880" i="1"/>
  <c r="M1880" i="1"/>
  <c r="O1879" i="1"/>
  <c r="O1879" i="1" a="1"/>
  <c r="N1879" i="1"/>
  <c r="M1879" i="1"/>
  <c r="O1878" i="1"/>
  <c r="O1878" i="1" a="1"/>
  <c r="N1878" i="1"/>
  <c r="M1878" i="1"/>
  <c r="O1877" i="1"/>
  <c r="O1877" i="1" a="1"/>
  <c r="N1877" i="1"/>
  <c r="M1877" i="1"/>
  <c r="O1876" i="1"/>
  <c r="O1876" i="1" a="1"/>
  <c r="N1876" i="1"/>
  <c r="M1876" i="1"/>
  <c r="O1875" i="1"/>
  <c r="O1875" i="1" a="1"/>
  <c r="N1875" i="1"/>
  <c r="M1875" i="1"/>
  <c r="O1874" i="1"/>
  <c r="O1874" i="1" a="1"/>
  <c r="N1874" i="1"/>
  <c r="M1874" i="1"/>
  <c r="O1873" i="1"/>
  <c r="O1873" i="1" a="1"/>
  <c r="N1873" i="1"/>
  <c r="M1873" i="1"/>
  <c r="O1872" i="1"/>
  <c r="O1872" i="1" a="1"/>
  <c r="N1872" i="1"/>
  <c r="M1872" i="1"/>
  <c r="O1871" i="1"/>
  <c r="O1871" i="1" a="1"/>
  <c r="N1871" i="1"/>
  <c r="M1871" i="1"/>
  <c r="O1870" i="1"/>
  <c r="O1870" i="1" a="1"/>
  <c r="N1870" i="1"/>
  <c r="M1870" i="1"/>
  <c r="O1869" i="1"/>
  <c r="O1869" i="1" a="1"/>
  <c r="N1869" i="1"/>
  <c r="M1869" i="1"/>
  <c r="O1868" i="1"/>
  <c r="O1868" i="1" a="1"/>
  <c r="N1868" i="1"/>
  <c r="M1868" i="1"/>
  <c r="O1867" i="1"/>
  <c r="O1867" i="1" a="1"/>
  <c r="N1867" i="1"/>
  <c r="M1867" i="1"/>
  <c r="O1866" i="1"/>
  <c r="O1866" i="1" a="1"/>
  <c r="N1866" i="1"/>
  <c r="M1866" i="1"/>
  <c r="O1865" i="1"/>
  <c r="O1865" i="1" a="1"/>
  <c r="N1865" i="1"/>
  <c r="M1865" i="1"/>
  <c r="O1864" i="1"/>
  <c r="O1864" i="1" a="1"/>
  <c r="N1864" i="1"/>
  <c r="M1864" i="1"/>
  <c r="O1863" i="1"/>
  <c r="O1863" i="1" a="1"/>
  <c r="N1863" i="1"/>
  <c r="M1863" i="1"/>
  <c r="O1862" i="1"/>
  <c r="O1862" i="1" a="1"/>
  <c r="N1862" i="1"/>
  <c r="M1862" i="1"/>
  <c r="O1861" i="1"/>
  <c r="O1861" i="1" a="1"/>
  <c r="N1861" i="1"/>
  <c r="M1861" i="1"/>
  <c r="O1860" i="1"/>
  <c r="O1860" i="1" a="1"/>
  <c r="N1860" i="1"/>
  <c r="M1860" i="1"/>
  <c r="O1859" i="1"/>
  <c r="O1859" i="1" a="1"/>
  <c r="N1859" i="1"/>
  <c r="M1859" i="1"/>
  <c r="O1858" i="1"/>
  <c r="O1858" i="1" a="1"/>
  <c r="N1858" i="1"/>
  <c r="M1858" i="1"/>
  <c r="O1857" i="1"/>
  <c r="O1857" i="1" a="1"/>
  <c r="N1857" i="1"/>
  <c r="M1857" i="1"/>
  <c r="O1856" i="1"/>
  <c r="O1856" i="1" a="1"/>
  <c r="N1856" i="1"/>
  <c r="M1856" i="1"/>
  <c r="O1855" i="1"/>
  <c r="O1855" i="1" a="1"/>
  <c r="N1855" i="1"/>
  <c r="M1855" i="1"/>
  <c r="O1854" i="1"/>
  <c r="O1854" i="1" a="1"/>
  <c r="N1854" i="1"/>
  <c r="M1854" i="1"/>
  <c r="O1853" i="1"/>
  <c r="O1853" i="1" a="1"/>
  <c r="N1853" i="1"/>
  <c r="M1853" i="1"/>
  <c r="O1852" i="1"/>
  <c r="O1852" i="1" a="1"/>
  <c r="N1852" i="1"/>
  <c r="M1852" i="1"/>
  <c r="O1851" i="1"/>
  <c r="O1851" i="1" a="1"/>
  <c r="N1851" i="1"/>
  <c r="M1851" i="1"/>
  <c r="O1850" i="1"/>
  <c r="O1850" i="1" a="1"/>
  <c r="N1850" i="1"/>
  <c r="M1850" i="1"/>
  <c r="O1849" i="1"/>
  <c r="O1849" i="1" a="1"/>
  <c r="N1849" i="1"/>
  <c r="M1849" i="1"/>
  <c r="O1848" i="1"/>
  <c r="O1848" i="1" a="1"/>
  <c r="N1848" i="1"/>
  <c r="M1848" i="1"/>
  <c r="O1847" i="1"/>
  <c r="O1847" i="1" a="1"/>
  <c r="N1847" i="1"/>
  <c r="M1847" i="1"/>
  <c r="O1846" i="1"/>
  <c r="O1846" i="1" a="1"/>
  <c r="N1846" i="1"/>
  <c r="M1846" i="1"/>
  <c r="O1845" i="1"/>
  <c r="O1845" i="1" a="1"/>
  <c r="N1845" i="1"/>
  <c r="M1845" i="1"/>
  <c r="O1844" i="1"/>
  <c r="O1844" i="1" a="1"/>
  <c r="N1844" i="1"/>
  <c r="M1844" i="1"/>
  <c r="O1843" i="1"/>
  <c r="O1843" i="1" a="1"/>
  <c r="N1843" i="1"/>
  <c r="M1843" i="1"/>
  <c r="O1842" i="1"/>
  <c r="O1842" i="1" a="1"/>
  <c r="N1842" i="1"/>
  <c r="M1842" i="1"/>
  <c r="O1841" i="1"/>
  <c r="O1841" i="1" a="1"/>
  <c r="N1841" i="1"/>
  <c r="M1841" i="1"/>
  <c r="O1840" i="1"/>
  <c r="O1840" i="1" a="1"/>
  <c r="N1840" i="1"/>
  <c r="M1840" i="1"/>
  <c r="O1839" i="1"/>
  <c r="O1839" i="1" a="1"/>
  <c r="N1839" i="1"/>
  <c r="M1839" i="1"/>
  <c r="O1838" i="1"/>
  <c r="O1838" i="1" a="1"/>
  <c r="N1838" i="1"/>
  <c r="M1838" i="1"/>
  <c r="O1837" i="1"/>
  <c r="O1837" i="1" a="1"/>
  <c r="N1837" i="1"/>
  <c r="M1837" i="1"/>
  <c r="O1836" i="1"/>
  <c r="O1836" i="1" a="1"/>
  <c r="N1836" i="1"/>
  <c r="M1836" i="1"/>
  <c r="O1835" i="1"/>
  <c r="O1835" i="1" a="1"/>
  <c r="N1835" i="1"/>
  <c r="M1835" i="1"/>
  <c r="O1834" i="1"/>
  <c r="O1834" i="1" a="1"/>
  <c r="N1834" i="1"/>
  <c r="M1834" i="1"/>
  <c r="O1833" i="1"/>
  <c r="O1833" i="1" a="1"/>
  <c r="N1833" i="1"/>
  <c r="M1833" i="1"/>
  <c r="O1832" i="1"/>
  <c r="O1832" i="1" a="1"/>
  <c r="N1832" i="1"/>
  <c r="M1832" i="1"/>
  <c r="O1831" i="1"/>
  <c r="O1831" i="1" a="1"/>
  <c r="N1831" i="1"/>
  <c r="M1831" i="1"/>
  <c r="O1830" i="1"/>
  <c r="O1830" i="1" a="1"/>
  <c r="N1830" i="1"/>
  <c r="M1830" i="1"/>
  <c r="O1829" i="1"/>
  <c r="O1829" i="1" a="1"/>
  <c r="N1829" i="1"/>
  <c r="M1829" i="1"/>
  <c r="O1828" i="1"/>
  <c r="O1828" i="1" a="1"/>
  <c r="N1828" i="1"/>
  <c r="M1828" i="1"/>
  <c r="O1827" i="1"/>
  <c r="O1827" i="1" a="1"/>
  <c r="N1827" i="1"/>
  <c r="M1827" i="1"/>
  <c r="O1826" i="1"/>
  <c r="O1826" i="1" a="1"/>
  <c r="N1826" i="1"/>
  <c r="M1826" i="1"/>
  <c r="O1825" i="1"/>
  <c r="O1825" i="1" a="1"/>
  <c r="N1825" i="1"/>
  <c r="M1825" i="1"/>
  <c r="O1824" i="1"/>
  <c r="O1824" i="1" a="1"/>
  <c r="N1824" i="1"/>
  <c r="M1824" i="1"/>
  <c r="O1823" i="1"/>
  <c r="O1823" i="1" a="1"/>
  <c r="N1823" i="1"/>
  <c r="M1823" i="1"/>
  <c r="O1822" i="1"/>
  <c r="O1822" i="1" a="1"/>
  <c r="N1822" i="1"/>
  <c r="M1822" i="1"/>
  <c r="O1821" i="1"/>
  <c r="O1821" i="1" a="1"/>
  <c r="N1821" i="1"/>
  <c r="M1821" i="1"/>
  <c r="O1820" i="1"/>
  <c r="O1820" i="1" a="1"/>
  <c r="N1820" i="1"/>
  <c r="M1820" i="1"/>
  <c r="O1819" i="1"/>
  <c r="O1819" i="1" a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/>
  <c r="O1814" i="1" a="1"/>
  <c r="N1814" i="1"/>
  <c r="M1814" i="1"/>
  <c r="O1813" i="1"/>
  <c r="O1813" i="1" a="1"/>
  <c r="N1813" i="1"/>
  <c r="M1813" i="1"/>
  <c r="O1812" i="1"/>
  <c r="O1812" i="1" a="1"/>
  <c r="N1812" i="1"/>
  <c r="M1812" i="1"/>
  <c r="O1811" i="1"/>
  <c r="O1811" i="1" a="1"/>
  <c r="N1811" i="1"/>
  <c r="M1811" i="1"/>
  <c r="O1810" i="1"/>
  <c r="O1810" i="1" a="1"/>
  <c r="N1810" i="1"/>
  <c r="M1810" i="1"/>
  <c r="O1809" i="1"/>
  <c r="O1809" i="1" a="1"/>
  <c r="N1809" i="1"/>
  <c r="M1809" i="1"/>
  <c r="O1808" i="1"/>
  <c r="O1808" i="1" a="1"/>
  <c r="N1808" i="1"/>
  <c r="M1808" i="1"/>
  <c r="O1807" i="1"/>
  <c r="O1807" i="1" a="1"/>
  <c r="N1807" i="1"/>
  <c r="M1807" i="1"/>
  <c r="O1806" i="1"/>
  <c r="O1806" i="1" a="1"/>
  <c r="N1806" i="1"/>
  <c r="M1806" i="1"/>
  <c r="O1805" i="1"/>
  <c r="O1805" i="1" a="1"/>
  <c r="N1805" i="1"/>
  <c r="M1805" i="1"/>
  <c r="O1804" i="1"/>
  <c r="O1804" i="1" a="1"/>
  <c r="N1804" i="1"/>
  <c r="M1804" i="1"/>
  <c r="O1803" i="1"/>
  <c r="O1803" i="1" a="1"/>
  <c r="N1803" i="1"/>
  <c r="M1803" i="1"/>
  <c r="O1802" i="1"/>
  <c r="O1802" i="1" a="1"/>
  <c r="N1802" i="1"/>
  <c r="M1802" i="1"/>
  <c r="O1801" i="1"/>
  <c r="O1801" i="1" a="1"/>
  <c r="N1801" i="1"/>
  <c r="M1801" i="1"/>
  <c r="O1800" i="1"/>
  <c r="O1800" i="1" a="1"/>
  <c r="N1800" i="1"/>
  <c r="M1800" i="1"/>
  <c r="O1799" i="1"/>
  <c r="O1799" i="1" a="1"/>
  <c r="N1799" i="1"/>
  <c r="M1799" i="1"/>
  <c r="O1798" i="1"/>
  <c r="O1798" i="1" a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/>
  <c r="O1794" i="1" a="1"/>
  <c r="N1794" i="1"/>
  <c r="M1794" i="1"/>
  <c r="O1793" i="1"/>
  <c r="O1793" i="1" a="1"/>
  <c r="N1793" i="1"/>
  <c r="M1793" i="1"/>
  <c r="O1792" i="1"/>
  <c r="O1792" i="1" a="1"/>
  <c r="N1792" i="1"/>
  <c r="M1792" i="1"/>
  <c r="O1791" i="1"/>
  <c r="O1791" i="1" a="1"/>
  <c r="N1791" i="1"/>
  <c r="M1791" i="1"/>
  <c r="O1790" i="1"/>
  <c r="O1790" i="1" a="1"/>
  <c r="N1790" i="1"/>
  <c r="M1790" i="1"/>
  <c r="O1789" i="1"/>
  <c r="O1789" i="1" a="1"/>
  <c r="N1789" i="1"/>
  <c r="M1789" i="1"/>
  <c r="O1788" i="1"/>
  <c r="O1788" i="1" a="1"/>
  <c r="N1788" i="1"/>
  <c r="M1788" i="1"/>
  <c r="O1787" i="1"/>
  <c r="O1787" i="1" a="1"/>
  <c r="N1787" i="1"/>
  <c r="M1787" i="1"/>
  <c r="O1786" i="1"/>
  <c r="O1786" i="1" a="1"/>
  <c r="N1786" i="1"/>
  <c r="M1786" i="1"/>
  <c r="O1785" i="1"/>
  <c r="O1785" i="1" a="1"/>
  <c r="N1785" i="1"/>
  <c r="M1785" i="1"/>
  <c r="O1784" i="1"/>
  <c r="O1784" i="1" a="1"/>
  <c r="N1784" i="1"/>
  <c r="M1784" i="1"/>
  <c r="O1783" i="1"/>
  <c r="O1783" i="1" a="1"/>
  <c r="N1783" i="1"/>
  <c r="M1783" i="1"/>
  <c r="O1782" i="1"/>
  <c r="O1782" i="1" a="1"/>
  <c r="N1782" i="1"/>
  <c r="M1782" i="1"/>
  <c r="O1781" i="1"/>
  <c r="O1781" i="1" a="1"/>
  <c r="N1781" i="1"/>
  <c r="M1781" i="1"/>
  <c r="O1780" i="1"/>
  <c r="O1780" i="1" a="1"/>
  <c r="N1780" i="1"/>
  <c r="M1780" i="1"/>
  <c r="O1779" i="1"/>
  <c r="O1779" i="1" a="1"/>
  <c r="N1779" i="1"/>
  <c r="M1779" i="1"/>
  <c r="O1778" i="1"/>
  <c r="O1778" i="1" a="1"/>
  <c r="N1778" i="1"/>
  <c r="M1778" i="1"/>
  <c r="O1777" i="1"/>
  <c r="O1777" i="1" a="1"/>
  <c r="N1777" i="1"/>
  <c r="M1777" i="1"/>
  <c r="O1776" i="1"/>
  <c r="O1776" i="1" a="1"/>
  <c r="N1776" i="1"/>
  <c r="M1776" i="1"/>
  <c r="O1775" i="1"/>
  <c r="O1775" i="1" a="1"/>
  <c r="N1775" i="1"/>
  <c r="M1775" i="1"/>
  <c r="O1774" i="1"/>
  <c r="O1774" i="1" a="1"/>
  <c r="N1774" i="1"/>
  <c r="M1774" i="1"/>
  <c r="O1773" i="1"/>
  <c r="O1773" i="1" a="1"/>
  <c r="N1773" i="1"/>
  <c r="M1773" i="1"/>
  <c r="O1772" i="1"/>
  <c r="O1772" i="1" a="1"/>
  <c r="N1772" i="1"/>
  <c r="M1772" i="1"/>
  <c r="O1771" i="1"/>
  <c r="O1771" i="1" a="1"/>
  <c r="N1771" i="1"/>
  <c r="M1771" i="1"/>
  <c r="O1770" i="1"/>
  <c r="O1770" i="1" a="1"/>
  <c r="N1770" i="1"/>
  <c r="M1770" i="1"/>
  <c r="O1769" i="1"/>
  <c r="O1769" i="1" a="1"/>
  <c r="N1769" i="1"/>
  <c r="M1769" i="1"/>
  <c r="O1768" i="1"/>
  <c r="O1768" i="1" a="1"/>
  <c r="N1768" i="1"/>
  <c r="M1768" i="1"/>
  <c r="O1767" i="1"/>
  <c r="O1767" i="1" a="1"/>
  <c r="N1767" i="1"/>
  <c r="M1767" i="1"/>
  <c r="O1766" i="1"/>
  <c r="O1766" i="1" a="1"/>
  <c r="N1766" i="1"/>
  <c r="M1766" i="1"/>
  <c r="O1765" i="1"/>
  <c r="O1765" i="1" a="1"/>
  <c r="N1765" i="1"/>
  <c r="M1765" i="1"/>
  <c r="O1764" i="1"/>
  <c r="O1764" i="1" a="1"/>
  <c r="N1764" i="1"/>
  <c r="M1764" i="1"/>
  <c r="O1763" i="1"/>
  <c r="O1763" i="1" a="1"/>
  <c r="N1763" i="1"/>
  <c r="M1763" i="1"/>
  <c r="O1762" i="1"/>
  <c r="O1762" i="1" a="1"/>
  <c r="N1762" i="1"/>
  <c r="M1762" i="1"/>
  <c r="O1761" i="1"/>
  <c r="O1761" i="1" a="1"/>
  <c r="N1761" i="1"/>
  <c r="M1761" i="1"/>
  <c r="O1760" i="1"/>
  <c r="O1760" i="1" a="1"/>
  <c r="N1760" i="1"/>
  <c r="M1760" i="1"/>
  <c r="O1759" i="1"/>
  <c r="O1759" i="1" a="1"/>
  <c r="N1759" i="1"/>
  <c r="M1759" i="1"/>
  <c r="O1758" i="1"/>
  <c r="O1758" i="1" a="1"/>
  <c r="N1758" i="1"/>
  <c r="M1758" i="1"/>
  <c r="O1757" i="1"/>
  <c r="O1757" i="1" a="1"/>
  <c r="N1757" i="1"/>
  <c r="M1757" i="1"/>
  <c r="O1756" i="1"/>
  <c r="O1756" i="1" a="1"/>
  <c r="N1756" i="1"/>
  <c r="M1756" i="1"/>
  <c r="O1755" i="1"/>
  <c r="O1755" i="1" a="1"/>
  <c r="N1755" i="1"/>
  <c r="M1755" i="1"/>
  <c r="O1754" i="1"/>
  <c r="O1754" i="1" a="1"/>
  <c r="N1754" i="1"/>
  <c r="M1754" i="1"/>
  <c r="O1753" i="1"/>
  <c r="O1753" i="1" a="1"/>
  <c r="N1753" i="1"/>
  <c r="M1753" i="1"/>
  <c r="O1752" i="1"/>
  <c r="O1752" i="1" a="1"/>
  <c r="N1752" i="1"/>
  <c r="M1752" i="1"/>
  <c r="O1751" i="1"/>
  <c r="O1751" i="1" a="1"/>
  <c r="N1751" i="1"/>
  <c r="M1751" i="1"/>
  <c r="O1750" i="1"/>
  <c r="O1750" i="1" a="1"/>
  <c r="N1750" i="1"/>
  <c r="M1750" i="1"/>
  <c r="O1749" i="1"/>
  <c r="O1749" i="1" a="1"/>
  <c r="N1749" i="1"/>
  <c r="M1749" i="1"/>
  <c r="O1748" i="1"/>
  <c r="O1748" i="1" a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/>
  <c r="O1742" i="1" a="1"/>
  <c r="N1742" i="1"/>
  <c r="M1742" i="1"/>
  <c r="O1741" i="1"/>
  <c r="O1741" i="1" a="1"/>
  <c r="N1741" i="1"/>
  <c r="M1741" i="1"/>
  <c r="O1740" i="1"/>
  <c r="O1740" i="1" a="1"/>
  <c r="N1740" i="1"/>
  <c r="M1740" i="1"/>
  <c r="O1739" i="1"/>
  <c r="O1739" i="1" a="1"/>
  <c r="N1739" i="1"/>
  <c r="M1739" i="1"/>
  <c r="O1738" i="1"/>
  <c r="O1738" i="1" a="1"/>
  <c r="N1738" i="1"/>
  <c r="M1738" i="1"/>
  <c r="O1737" i="1"/>
  <c r="O1737" i="1" a="1"/>
  <c r="N1737" i="1"/>
  <c r="M1737" i="1"/>
  <c r="O1736" i="1"/>
  <c r="O1736" i="1" a="1"/>
  <c r="N1736" i="1"/>
  <c r="M1736" i="1"/>
  <c r="O1735" i="1"/>
  <c r="O1735" i="1" a="1"/>
  <c r="N1735" i="1"/>
  <c r="M1735" i="1"/>
  <c r="O1734" i="1"/>
  <c r="O1734" i="1" a="1"/>
  <c r="N1734" i="1"/>
  <c r="M1734" i="1"/>
  <c r="O1733" i="1"/>
  <c r="O1733" i="1" a="1"/>
  <c r="N1733" i="1"/>
  <c r="M1733" i="1"/>
  <c r="O1732" i="1"/>
  <c r="O1732" i="1" a="1"/>
  <c r="N1732" i="1"/>
  <c r="M1732" i="1"/>
  <c r="O1731" i="1"/>
  <c r="O1731" i="1" a="1"/>
  <c r="N1731" i="1"/>
  <c r="M1731" i="1"/>
  <c r="O1730" i="1"/>
  <c r="O1730" i="1" a="1"/>
  <c r="N1730" i="1"/>
  <c r="M1730" i="1"/>
  <c r="O1729" i="1"/>
  <c r="O1729" i="1" a="1"/>
  <c r="N1729" i="1"/>
  <c r="M1729" i="1"/>
  <c r="O1728" i="1"/>
  <c r="O1728" i="1" a="1"/>
  <c r="N1728" i="1"/>
  <c r="M1728" i="1"/>
  <c r="O1727" i="1"/>
  <c r="O1727" i="1" a="1"/>
  <c r="N1727" i="1"/>
  <c r="M1727" i="1"/>
  <c r="O1726" i="1"/>
  <c r="O1726" i="1" a="1"/>
  <c r="N1726" i="1"/>
  <c r="M1726" i="1"/>
  <c r="O1725" i="1"/>
  <c r="O1725" i="1" a="1"/>
  <c r="N1725" i="1"/>
  <c r="M1725" i="1"/>
  <c r="O1724" i="1"/>
  <c r="O1724" i="1" a="1"/>
  <c r="N1724" i="1"/>
  <c r="M1724" i="1"/>
  <c r="O1723" i="1"/>
  <c r="O1723" i="1" a="1"/>
  <c r="N1723" i="1"/>
  <c r="M1723" i="1"/>
  <c r="O1722" i="1"/>
  <c r="O1722" i="1" a="1"/>
  <c r="N1722" i="1"/>
  <c r="M1722" i="1"/>
  <c r="O1721" i="1"/>
  <c r="O1721" i="1" a="1"/>
  <c r="N1721" i="1"/>
  <c r="M1721" i="1"/>
  <c r="O1720" i="1"/>
  <c r="O1720" i="1" a="1"/>
  <c r="N1720" i="1"/>
  <c r="M1720" i="1"/>
  <c r="O1719" i="1"/>
  <c r="O1719" i="1" a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/>
  <c r="O1714" i="1" a="1"/>
  <c r="N1714" i="1"/>
  <c r="M1714" i="1"/>
  <c r="O1713" i="1"/>
  <c r="O1713" i="1" a="1"/>
  <c r="N1713" i="1"/>
  <c r="M1713" i="1"/>
  <c r="O1712" i="1"/>
  <c r="O1712" i="1" a="1"/>
  <c r="N1712" i="1"/>
  <c r="M1712" i="1"/>
  <c r="O1711" i="1"/>
  <c r="O1711" i="1" a="1"/>
  <c r="N1711" i="1"/>
  <c r="M1711" i="1"/>
  <c r="O1710" i="1"/>
  <c r="O1710" i="1" a="1"/>
  <c r="N1710" i="1"/>
  <c r="M1710" i="1"/>
  <c r="O1709" i="1"/>
  <c r="O1709" i="1" a="1"/>
  <c r="N1709" i="1"/>
  <c r="M1709" i="1"/>
  <c r="O1708" i="1"/>
  <c r="O1708" i="1" a="1"/>
  <c r="N1708" i="1"/>
  <c r="M1708" i="1"/>
  <c r="O1707" i="1"/>
  <c r="O1707" i="1" a="1"/>
  <c r="N1707" i="1"/>
  <c r="M1707" i="1"/>
  <c r="O1706" i="1"/>
  <c r="O1706" i="1" a="1"/>
  <c r="N1706" i="1"/>
  <c r="M1706" i="1"/>
  <c r="O1705" i="1"/>
  <c r="O1705" i="1" a="1"/>
  <c r="N1705" i="1"/>
  <c r="M1705" i="1"/>
  <c r="O1704" i="1"/>
  <c r="O1704" i="1" a="1"/>
  <c r="N1704" i="1"/>
  <c r="M1704" i="1"/>
  <c r="O1703" i="1"/>
  <c r="O1703" i="1" a="1"/>
  <c r="N1703" i="1"/>
  <c r="M1703" i="1"/>
  <c r="O1702" i="1"/>
  <c r="O1702" i="1" a="1"/>
  <c r="N1702" i="1"/>
  <c r="M1702" i="1"/>
  <c r="O1701" i="1"/>
  <c r="O1701" i="1" a="1"/>
  <c r="N1701" i="1"/>
  <c r="M1701" i="1"/>
  <c r="O1700" i="1"/>
  <c r="O1700" i="1" a="1"/>
  <c r="N1700" i="1"/>
  <c r="M1700" i="1"/>
  <c r="O1699" i="1"/>
  <c r="O1699" i="1" a="1"/>
  <c r="N1699" i="1"/>
  <c r="M1699" i="1"/>
  <c r="O1698" i="1"/>
  <c r="O1698" i="1" a="1"/>
  <c r="N1698" i="1"/>
  <c r="M1698" i="1"/>
  <c r="O1697" i="1"/>
  <c r="O1697" i="1" a="1"/>
  <c r="N1697" i="1"/>
  <c r="M1697" i="1"/>
  <c r="O1696" i="1"/>
  <c r="O1696" i="1" a="1"/>
  <c r="N1696" i="1"/>
  <c r="M1696" i="1"/>
  <c r="O1695" i="1"/>
  <c r="O1695" i="1" a="1"/>
  <c r="N1695" i="1"/>
  <c r="M1695" i="1"/>
  <c r="O1694" i="1"/>
  <c r="O1694" i="1" a="1"/>
  <c r="N1694" i="1"/>
  <c r="M1694" i="1"/>
  <c r="O1693" i="1"/>
  <c r="O1693" i="1" a="1"/>
  <c r="N1693" i="1"/>
  <c r="M1693" i="1"/>
  <c r="O1692" i="1"/>
  <c r="O1692" i="1" a="1"/>
  <c r="N1692" i="1"/>
  <c r="M1692" i="1"/>
  <c r="O1691" i="1"/>
  <c r="O1691" i="1" a="1"/>
  <c r="N1691" i="1"/>
  <c r="M1691" i="1"/>
  <c r="O1690" i="1"/>
  <c r="O1690" i="1" a="1"/>
  <c r="N1690" i="1"/>
  <c r="M1690" i="1"/>
  <c r="O1689" i="1"/>
  <c r="O1689" i="1" a="1"/>
  <c r="N1689" i="1"/>
  <c r="M1689" i="1"/>
  <c r="O1688" i="1"/>
  <c r="O1688" i="1" a="1"/>
  <c r="N1688" i="1"/>
  <c r="M1688" i="1"/>
  <c r="O1687" i="1"/>
  <c r="O1687" i="1" a="1"/>
  <c r="N1687" i="1"/>
  <c r="M1687" i="1"/>
  <c r="O1686" i="1"/>
  <c r="O1686" i="1" a="1"/>
  <c r="N1686" i="1"/>
  <c r="M1686" i="1"/>
  <c r="O1685" i="1"/>
  <c r="O1685" i="1" a="1"/>
  <c r="N1685" i="1"/>
  <c r="M1685" i="1"/>
  <c r="O1684" i="1"/>
  <c r="O1684" i="1" a="1"/>
  <c r="N1684" i="1"/>
  <c r="M1684" i="1"/>
  <c r="O1683" i="1"/>
  <c r="O1683" i="1" a="1"/>
  <c r="N1683" i="1"/>
  <c r="M1683" i="1"/>
  <c r="O1682" i="1"/>
  <c r="O1682" i="1" a="1"/>
  <c r="N1682" i="1"/>
  <c r="M1682" i="1"/>
  <c r="O1681" i="1"/>
  <c r="O1681" i="1" a="1"/>
  <c r="N1681" i="1"/>
  <c r="M1681" i="1"/>
  <c r="O1680" i="1"/>
  <c r="O1680" i="1" a="1"/>
  <c r="N1680" i="1"/>
  <c r="M1680" i="1"/>
  <c r="O1679" i="1"/>
  <c r="O1679" i="1" a="1"/>
  <c r="N1679" i="1"/>
  <c r="M1679" i="1"/>
  <c r="O1678" i="1"/>
  <c r="O1678" i="1" a="1"/>
  <c r="N1678" i="1"/>
  <c r="M1678" i="1"/>
  <c r="O1677" i="1"/>
  <c r="O1677" i="1" a="1"/>
  <c r="N1677" i="1"/>
  <c r="M1677" i="1"/>
  <c r="O1676" i="1"/>
  <c r="O1676" i="1" a="1"/>
  <c r="N1676" i="1"/>
  <c r="M1676" i="1"/>
  <c r="O1675" i="1"/>
  <c r="O1675" i="1" a="1"/>
  <c r="N1675" i="1"/>
  <c r="M1675" i="1"/>
  <c r="O1674" i="1"/>
  <c r="O1674" i="1" a="1"/>
  <c r="N1674" i="1"/>
  <c r="M1674" i="1"/>
  <c r="O1673" i="1"/>
  <c r="O1673" i="1" a="1"/>
  <c r="N1673" i="1"/>
  <c r="M1673" i="1"/>
  <c r="O1672" i="1"/>
  <c r="O1672" i="1" a="1"/>
  <c r="N1672" i="1"/>
  <c r="M1672" i="1"/>
  <c r="O1671" i="1"/>
  <c r="O1671" i="1" a="1"/>
  <c r="N1671" i="1"/>
  <c r="M1671" i="1"/>
  <c r="O1670" i="1"/>
  <c r="O1670" i="1" a="1"/>
  <c r="N1670" i="1"/>
  <c r="M1670" i="1"/>
  <c r="O1669" i="1"/>
  <c r="O1669" i="1" a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/>
  <c r="O1665" i="1" a="1"/>
  <c r="N1665" i="1"/>
  <c r="M1665" i="1"/>
  <c r="O1664" i="1"/>
  <c r="O1664" i="1" a="1"/>
  <c r="N1664" i="1"/>
  <c r="M1664" i="1"/>
  <c r="O1663" i="1"/>
  <c r="O1663" i="1" a="1"/>
  <c r="N1663" i="1"/>
  <c r="M1663" i="1"/>
  <c r="O1662" i="1"/>
  <c r="O1662" i="1" a="1"/>
  <c r="N1662" i="1"/>
  <c r="M1662" i="1"/>
  <c r="O1661" i="1"/>
  <c r="O1661" i="1" a="1"/>
  <c r="N1661" i="1"/>
  <c r="M1661" i="1"/>
  <c r="O1660" i="1"/>
  <c r="O1660" i="1" a="1"/>
  <c r="N1660" i="1"/>
  <c r="M1660" i="1"/>
  <c r="O1659" i="1"/>
  <c r="O1659" i="1" a="1"/>
  <c r="N1659" i="1"/>
  <c r="M1659" i="1"/>
  <c r="O1658" i="1"/>
  <c r="O1658" i="1" a="1"/>
  <c r="N1658" i="1"/>
  <c r="M1658" i="1"/>
  <c r="O1657" i="1"/>
  <c r="O1657" i="1" a="1"/>
  <c r="N1657" i="1"/>
  <c r="M1657" i="1"/>
  <c r="O1656" i="1"/>
  <c r="O1656" i="1" a="1"/>
  <c r="N1656" i="1"/>
  <c r="M1656" i="1"/>
  <c r="O1655" i="1"/>
  <c r="O1655" i="1" a="1"/>
  <c r="N1655" i="1"/>
  <c r="M1655" i="1"/>
  <c r="O1654" i="1"/>
  <c r="O1654" i="1" a="1"/>
  <c r="N1654" i="1"/>
  <c r="M1654" i="1"/>
  <c r="O1653" i="1"/>
  <c r="O1653" i="1" a="1"/>
  <c r="N1653" i="1"/>
  <c r="M1653" i="1"/>
  <c r="O1652" i="1"/>
  <c r="O1652" i="1" a="1"/>
  <c r="N1652" i="1"/>
  <c r="M1652" i="1"/>
  <c r="O1651" i="1"/>
  <c r="O1651" i="1" a="1"/>
  <c r="N1651" i="1"/>
  <c r="M1651" i="1"/>
  <c r="O1650" i="1"/>
  <c r="O1650" i="1" a="1"/>
  <c r="N1650" i="1"/>
  <c r="M1650" i="1"/>
  <c r="O1649" i="1"/>
  <c r="O1649" i="1" a="1"/>
  <c r="N1649" i="1"/>
  <c r="M1649" i="1"/>
  <c r="O1648" i="1"/>
  <c r="O1648" i="1" a="1"/>
  <c r="N1648" i="1"/>
  <c r="M1648" i="1"/>
  <c r="O1647" i="1"/>
  <c r="O1647" i="1" a="1"/>
  <c r="N1647" i="1"/>
  <c r="M1647" i="1"/>
  <c r="O1646" i="1"/>
  <c r="O1646" i="1" a="1"/>
  <c r="N1646" i="1"/>
  <c r="M1646" i="1"/>
  <c r="O1645" i="1"/>
  <c r="O1645" i="1" a="1"/>
  <c r="N1645" i="1"/>
  <c r="M1645" i="1"/>
  <c r="O1644" i="1"/>
  <c r="O1644" i="1" a="1"/>
  <c r="N1644" i="1"/>
  <c r="M1644" i="1"/>
  <c r="O1643" i="1"/>
  <c r="O1643" i="1" a="1"/>
  <c r="N1643" i="1"/>
  <c r="M1643" i="1"/>
  <c r="O1642" i="1"/>
  <c r="O1642" i="1" a="1"/>
  <c r="N1642" i="1"/>
  <c r="M1642" i="1"/>
  <c r="O1641" i="1"/>
  <c r="O1641" i="1" a="1"/>
  <c r="N1641" i="1"/>
  <c r="M1641" i="1"/>
  <c r="O1640" i="1"/>
  <c r="O1640" i="1" a="1"/>
  <c r="N1640" i="1"/>
  <c r="M1640" i="1"/>
  <c r="O1639" i="1"/>
  <c r="O1639" i="1" a="1"/>
  <c r="N1639" i="1"/>
  <c r="M1639" i="1"/>
  <c r="O1638" i="1"/>
  <c r="O1638" i="1" a="1"/>
  <c r="N1638" i="1"/>
  <c r="M1638" i="1"/>
  <c r="O1637" i="1"/>
  <c r="O1637" i="1" a="1"/>
  <c r="N1637" i="1"/>
  <c r="M1637" i="1"/>
  <c r="O1636" i="1"/>
  <c r="O1636" i="1" a="1"/>
  <c r="N1636" i="1"/>
  <c r="M1636" i="1"/>
  <c r="O1635" i="1"/>
  <c r="O1635" i="1" a="1"/>
  <c r="N1635" i="1"/>
  <c r="M1635" i="1"/>
  <c r="O1634" i="1"/>
  <c r="O1634" i="1" a="1"/>
  <c r="N1634" i="1"/>
  <c r="M1634" i="1"/>
  <c r="O1633" i="1"/>
  <c r="O1633" i="1" a="1"/>
  <c r="N1633" i="1"/>
  <c r="M1633" i="1"/>
  <c r="O1632" i="1"/>
  <c r="O1632" i="1" a="1"/>
  <c r="N1632" i="1"/>
  <c r="M1632" i="1"/>
  <c r="O1631" i="1"/>
  <c r="O1631" i="1" a="1"/>
  <c r="N1631" i="1"/>
  <c r="M1631" i="1"/>
  <c r="O1630" i="1"/>
  <c r="O1630" i="1" a="1"/>
  <c r="N1630" i="1"/>
  <c r="M1630" i="1"/>
  <c r="O1629" i="1"/>
  <c r="O1629" i="1" a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/>
  <c r="O1625" i="1" a="1"/>
  <c r="N1625" i="1"/>
  <c r="M1625" i="1"/>
  <c r="O1624" i="1"/>
  <c r="O1624" i="1" a="1"/>
  <c r="N1624" i="1"/>
  <c r="M1624" i="1"/>
  <c r="O1623" i="1"/>
  <c r="O1623" i="1" a="1"/>
  <c r="N1623" i="1"/>
  <c r="M1623" i="1"/>
  <c r="O1622" i="1"/>
  <c r="O1622" i="1" a="1"/>
  <c r="N1622" i="1"/>
  <c r="M1622" i="1"/>
  <c r="O1621" i="1"/>
  <c r="O1621" i="1" a="1"/>
  <c r="N1621" i="1"/>
  <c r="M1621" i="1"/>
  <c r="O1620" i="1"/>
  <c r="O1620" i="1" a="1"/>
  <c r="N1620" i="1"/>
  <c r="M1620" i="1"/>
  <c r="O1619" i="1"/>
  <c r="O1619" i="1" a="1"/>
  <c r="N1619" i="1"/>
  <c r="M1619" i="1"/>
  <c r="O1618" i="1"/>
  <c r="O1618" i="1" a="1"/>
  <c r="N1618" i="1"/>
  <c r="M1618" i="1"/>
  <c r="O1617" i="1"/>
  <c r="O1617" i="1" a="1"/>
  <c r="N1617" i="1"/>
  <c r="M1617" i="1"/>
  <c r="O1616" i="1"/>
  <c r="O1616" i="1" a="1"/>
  <c r="N1616" i="1"/>
  <c r="M1616" i="1"/>
  <c r="O1615" i="1"/>
  <c r="O1615" i="1" a="1"/>
  <c r="N1615" i="1"/>
  <c r="M1615" i="1"/>
  <c r="O1614" i="1"/>
  <c r="O1614" i="1" a="1"/>
  <c r="N1614" i="1"/>
  <c r="M1614" i="1"/>
  <c r="O1613" i="1"/>
  <c r="O1613" i="1" a="1"/>
  <c r="N1613" i="1"/>
  <c r="M1613" i="1"/>
  <c r="O1612" i="1"/>
  <c r="O1612" i="1" a="1"/>
  <c r="N1612" i="1"/>
  <c r="M1612" i="1"/>
  <c r="O1611" i="1"/>
  <c r="O1611" i="1" a="1"/>
  <c r="N1611" i="1"/>
  <c r="M1611" i="1"/>
  <c r="O1610" i="1"/>
  <c r="O1610" i="1" a="1"/>
  <c r="N1610" i="1"/>
  <c r="M1610" i="1"/>
  <c r="O1609" i="1"/>
  <c r="O1609" i="1" a="1"/>
  <c r="N1609" i="1"/>
  <c r="M1609" i="1"/>
  <c r="O1608" i="1"/>
  <c r="O1608" i="1" a="1"/>
  <c r="N1608" i="1"/>
  <c r="M1608" i="1"/>
  <c r="O1607" i="1"/>
  <c r="O1607" i="1" a="1"/>
  <c r="N1607" i="1"/>
  <c r="M1607" i="1"/>
  <c r="O1606" i="1"/>
  <c r="O1606" i="1" a="1"/>
  <c r="N1606" i="1"/>
  <c r="M1606" i="1"/>
  <c r="O1605" i="1"/>
  <c r="O1605" i="1" a="1"/>
  <c r="N1605" i="1"/>
  <c r="M1605" i="1"/>
  <c r="O1604" i="1"/>
  <c r="O1604" i="1" a="1"/>
  <c r="N1604" i="1"/>
  <c r="M1604" i="1"/>
  <c r="O1603" i="1"/>
  <c r="O1603" i="1" a="1"/>
  <c r="N1603" i="1"/>
  <c r="M1603" i="1"/>
  <c r="O1602" i="1"/>
  <c r="O1602" i="1" a="1"/>
  <c r="N1602" i="1"/>
  <c r="M1602" i="1"/>
  <c r="O1601" i="1"/>
  <c r="O1601" i="1" a="1"/>
  <c r="N1601" i="1"/>
  <c r="M1601" i="1"/>
  <c r="O1600" i="1"/>
  <c r="O1600" i="1" a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/>
  <c r="O1595" i="1" a="1"/>
  <c r="N1595" i="1"/>
  <c r="M1595" i="1"/>
  <c r="O1594" i="1"/>
  <c r="O1594" i="1" a="1"/>
  <c r="N1594" i="1"/>
  <c r="M1594" i="1"/>
  <c r="O1593" i="1"/>
  <c r="O1593" i="1" a="1"/>
  <c r="N1593" i="1"/>
  <c r="M1593" i="1"/>
  <c r="O1592" i="1"/>
  <c r="O1592" i="1" a="1"/>
  <c r="N1592" i="1"/>
  <c r="M1592" i="1"/>
  <c r="O1591" i="1"/>
  <c r="O1591" i="1" a="1"/>
  <c r="N1591" i="1"/>
  <c r="M1591" i="1"/>
  <c r="O1590" i="1"/>
  <c r="O1590" i="1" a="1"/>
  <c r="N1590" i="1"/>
  <c r="M1590" i="1"/>
  <c r="O1589" i="1"/>
  <c r="O1589" i="1" a="1"/>
  <c r="N1589" i="1"/>
  <c r="M1589" i="1"/>
  <c r="O1588" i="1"/>
  <c r="O1588" i="1" a="1"/>
  <c r="N1588" i="1"/>
  <c r="M1588" i="1"/>
  <c r="O1587" i="1"/>
  <c r="O1587" i="1" a="1"/>
  <c r="N1587" i="1"/>
  <c r="M1587" i="1"/>
  <c r="O1586" i="1"/>
  <c r="O1586" i="1" a="1"/>
  <c r="N1586" i="1"/>
  <c r="M1586" i="1"/>
  <c r="O1585" i="1"/>
  <c r="O1585" i="1" a="1"/>
  <c r="N1585" i="1"/>
  <c r="M1585" i="1"/>
  <c r="O1584" i="1"/>
  <c r="O1584" i="1" a="1"/>
  <c r="N1584" i="1"/>
  <c r="M1584" i="1"/>
  <c r="O1583" i="1"/>
  <c r="O1583" i="1" a="1"/>
  <c r="N1583" i="1"/>
  <c r="M1583" i="1"/>
  <c r="O1582" i="1"/>
  <c r="O1582" i="1" a="1"/>
  <c r="N1582" i="1"/>
  <c r="M1582" i="1"/>
  <c r="O1581" i="1"/>
  <c r="O1581" i="1" a="1"/>
  <c r="N1581" i="1"/>
  <c r="M1581" i="1"/>
  <c r="O1580" i="1"/>
  <c r="O1580" i="1" a="1"/>
  <c r="N1580" i="1"/>
  <c r="M1580" i="1"/>
  <c r="O1579" i="1"/>
  <c r="O1579" i="1" a="1"/>
  <c r="N1579" i="1"/>
  <c r="M1579" i="1"/>
  <c r="O1578" i="1"/>
  <c r="O1578" i="1" a="1"/>
  <c r="N1578" i="1"/>
  <c r="M1578" i="1"/>
  <c r="O1577" i="1"/>
  <c r="O1577" i="1" a="1"/>
  <c r="N1577" i="1"/>
  <c r="M1577" i="1"/>
  <c r="O1576" i="1"/>
  <c r="O1576" i="1" a="1"/>
  <c r="N1576" i="1"/>
  <c r="M1576" i="1"/>
  <c r="O1575" i="1"/>
  <c r="O1575" i="1" a="1"/>
  <c r="N1575" i="1"/>
  <c r="M1575" i="1"/>
  <c r="O1574" i="1"/>
  <c r="O1574" i="1" a="1"/>
  <c r="N1574" i="1"/>
  <c r="M1574" i="1"/>
  <c r="O1573" i="1"/>
  <c r="O1573" i="1" a="1"/>
  <c r="N1573" i="1"/>
  <c r="M1573" i="1"/>
  <c r="O1572" i="1"/>
  <c r="O1572" i="1" a="1"/>
  <c r="N1572" i="1"/>
  <c r="M1572" i="1"/>
  <c r="O1571" i="1"/>
  <c r="O1571" i="1" a="1"/>
  <c r="N1571" i="1"/>
  <c r="M1571" i="1"/>
  <c r="O1570" i="1"/>
  <c r="O1570" i="1" a="1"/>
  <c r="N1570" i="1"/>
  <c r="M1570" i="1"/>
  <c r="O1569" i="1"/>
  <c r="O1569" i="1" a="1"/>
  <c r="N1569" i="1"/>
  <c r="M1569" i="1"/>
  <c r="O1568" i="1"/>
  <c r="O1568" i="1" a="1"/>
  <c r="N1568" i="1"/>
  <c r="M1568" i="1"/>
  <c r="O1567" i="1"/>
  <c r="O1567" i="1" a="1"/>
  <c r="N1567" i="1"/>
  <c r="M1567" i="1"/>
  <c r="O1566" i="1"/>
  <c r="O1566" i="1" a="1"/>
  <c r="N1566" i="1"/>
  <c r="M1566" i="1"/>
  <c r="O1565" i="1"/>
  <c r="O1565" i="1" a="1"/>
  <c r="N1565" i="1"/>
  <c r="M1565" i="1"/>
  <c r="O1564" i="1"/>
  <c r="O1564" i="1" a="1"/>
  <c r="N1564" i="1"/>
  <c r="M1564" i="1"/>
  <c r="O1563" i="1"/>
  <c r="O1563" i="1" a="1"/>
  <c r="N1563" i="1"/>
  <c r="M1563" i="1"/>
  <c r="O1562" i="1"/>
  <c r="O1562" i="1" a="1"/>
  <c r="N1562" i="1"/>
  <c r="M1562" i="1"/>
  <c r="O1561" i="1"/>
  <c r="O1561" i="1" a="1"/>
  <c r="N1561" i="1"/>
  <c r="M1561" i="1"/>
  <c r="O1560" i="1"/>
  <c r="O1560" i="1" a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/>
  <c r="O1556" i="1" a="1"/>
  <c r="N1556" i="1"/>
  <c r="M1556" i="1"/>
  <c r="O1555" i="1"/>
  <c r="O1555" i="1" a="1"/>
  <c r="N1555" i="1"/>
  <c r="M1555" i="1"/>
  <c r="O1554" i="1"/>
  <c r="O1554" i="1" a="1"/>
  <c r="N1554" i="1"/>
  <c r="M1554" i="1"/>
  <c r="O1553" i="1"/>
  <c r="O1553" i="1" a="1"/>
  <c r="N1553" i="1"/>
  <c r="M1553" i="1"/>
  <c r="O1552" i="1"/>
  <c r="O1552" i="1" a="1"/>
  <c r="N1552" i="1"/>
  <c r="M1552" i="1"/>
  <c r="O1551" i="1"/>
  <c r="O1551" i="1" a="1"/>
  <c r="N1551" i="1"/>
  <c r="M1551" i="1"/>
  <c r="O1550" i="1"/>
  <c r="O1550" i="1" a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/>
  <c r="O1546" i="1" a="1"/>
  <c r="N1546" i="1"/>
  <c r="M1546" i="1"/>
  <c r="O1545" i="1"/>
  <c r="O1545" i="1" a="1"/>
  <c r="N1545" i="1"/>
  <c r="M1545" i="1"/>
  <c r="O1544" i="1"/>
  <c r="O1544" i="1" a="1"/>
  <c r="N1544" i="1"/>
  <c r="M1544" i="1"/>
  <c r="O1543" i="1"/>
  <c r="O1543" i="1" a="1"/>
  <c r="N1543" i="1"/>
  <c r="M1543" i="1"/>
  <c r="O1542" i="1"/>
  <c r="O1542" i="1" a="1"/>
  <c r="N1542" i="1"/>
  <c r="M1542" i="1"/>
  <c r="O1541" i="1"/>
  <c r="O1541" i="1" a="1"/>
  <c r="N1541" i="1"/>
  <c r="M1541" i="1"/>
  <c r="O1540" i="1"/>
  <c r="O1540" i="1" a="1"/>
  <c r="N1540" i="1"/>
  <c r="M1540" i="1"/>
  <c r="O1539" i="1"/>
  <c r="O1539" i="1" a="1"/>
  <c r="N1539" i="1"/>
  <c r="M1539" i="1"/>
  <c r="O1538" i="1"/>
  <c r="O1538" i="1" a="1"/>
  <c r="N1538" i="1"/>
  <c r="M1538" i="1"/>
  <c r="O1537" i="1"/>
  <c r="O1537" i="1" a="1"/>
  <c r="N1537" i="1"/>
  <c r="M1537" i="1"/>
  <c r="O1536" i="1"/>
  <c r="O1536" i="1" a="1"/>
  <c r="N1536" i="1"/>
  <c r="M1536" i="1"/>
  <c r="O1535" i="1"/>
  <c r="O1535" i="1" a="1"/>
  <c r="N1535" i="1"/>
  <c r="M1535" i="1"/>
  <c r="O1534" i="1"/>
  <c r="O1534" i="1" a="1"/>
  <c r="N1534" i="1"/>
  <c r="M1534" i="1"/>
  <c r="O1533" i="1"/>
  <c r="O1533" i="1" a="1"/>
  <c r="N1533" i="1"/>
  <c r="M1533" i="1"/>
  <c r="O1532" i="1"/>
  <c r="O1532" i="1" a="1"/>
  <c r="N1532" i="1"/>
  <c r="M1532" i="1"/>
  <c r="O1531" i="1"/>
  <c r="O1531" i="1" a="1"/>
  <c r="N1531" i="1"/>
  <c r="M1531" i="1"/>
  <c r="O1530" i="1"/>
  <c r="O1530" i="1" a="1"/>
  <c r="N1530" i="1"/>
  <c r="M1530" i="1"/>
  <c r="O1529" i="1"/>
  <c r="O1529" i="1" a="1"/>
  <c r="N1529" i="1"/>
  <c r="M1529" i="1"/>
  <c r="O1528" i="1"/>
  <c r="O1528" i="1" a="1"/>
  <c r="N1528" i="1"/>
  <c r="M1528" i="1"/>
  <c r="O1527" i="1"/>
  <c r="O1527" i="1" a="1"/>
  <c r="N1527" i="1"/>
  <c r="M1527" i="1"/>
  <c r="O1526" i="1"/>
  <c r="O1526" i="1" a="1"/>
  <c r="N1526" i="1"/>
  <c r="M1526" i="1"/>
  <c r="O1525" i="1"/>
  <c r="O1525" i="1" a="1"/>
  <c r="N1525" i="1"/>
  <c r="M1525" i="1"/>
  <c r="O1524" i="1"/>
  <c r="O1524" i="1" a="1"/>
  <c r="N1524" i="1"/>
  <c r="M1524" i="1"/>
  <c r="O1523" i="1"/>
  <c r="O1523" i="1" a="1"/>
  <c r="N1523" i="1"/>
  <c r="M1523" i="1"/>
  <c r="O1522" i="1"/>
  <c r="O1522" i="1" a="1"/>
  <c r="N1522" i="1"/>
  <c r="M1522" i="1"/>
  <c r="O1521" i="1"/>
  <c r="O1521" i="1" a="1"/>
  <c r="N1521" i="1"/>
  <c r="M1521" i="1"/>
  <c r="O1520" i="1"/>
  <c r="O1520" i="1" a="1"/>
  <c r="N1520" i="1"/>
  <c r="M1520" i="1"/>
  <c r="O1519" i="1"/>
  <c r="O1519" i="1" a="1"/>
  <c r="N1519" i="1"/>
  <c r="M1519" i="1"/>
  <c r="O1518" i="1"/>
  <c r="O1518" i="1" a="1"/>
  <c r="N1518" i="1"/>
  <c r="M1518" i="1"/>
  <c r="O1517" i="1"/>
  <c r="O1517" i="1" a="1"/>
  <c r="N1517" i="1"/>
  <c r="M1517" i="1"/>
  <c r="O1516" i="1"/>
  <c r="O1516" i="1" a="1"/>
  <c r="N1516" i="1"/>
  <c r="M1516" i="1"/>
  <c r="O1515" i="1"/>
  <c r="O1515" i="1" a="1"/>
  <c r="N1515" i="1"/>
  <c r="M1515" i="1"/>
  <c r="O1514" i="1"/>
  <c r="O1514" i="1" a="1"/>
  <c r="N1514" i="1"/>
  <c r="M1514" i="1"/>
  <c r="O1513" i="1"/>
  <c r="O1513" i="1" a="1"/>
  <c r="N1513" i="1"/>
  <c r="M1513" i="1"/>
  <c r="O1512" i="1"/>
  <c r="O1512" i="1" a="1"/>
  <c r="N1512" i="1"/>
  <c r="M1512" i="1"/>
  <c r="O1511" i="1"/>
  <c r="O1511" i="1" a="1"/>
  <c r="N1511" i="1"/>
  <c r="M1511" i="1"/>
  <c r="O1510" i="1"/>
  <c r="O1510" i="1" a="1"/>
  <c r="N1510" i="1"/>
  <c r="M1510" i="1"/>
  <c r="O1509" i="1"/>
  <c r="O1509" i="1" a="1"/>
  <c r="N1509" i="1"/>
  <c r="M1509" i="1"/>
  <c r="O1508" i="1"/>
  <c r="O1508" i="1" a="1"/>
  <c r="N1508" i="1"/>
  <c r="M1508" i="1"/>
  <c r="O1507" i="1"/>
  <c r="O1507" i="1" a="1"/>
  <c r="N1507" i="1"/>
  <c r="M1507" i="1"/>
  <c r="O1506" i="1"/>
  <c r="O1506" i="1" a="1"/>
  <c r="N1506" i="1"/>
  <c r="M1506" i="1"/>
  <c r="O1505" i="1"/>
  <c r="O1505" i="1" a="1"/>
  <c r="N1505" i="1"/>
  <c r="M1505" i="1"/>
  <c r="O1504" i="1"/>
  <c r="O1504" i="1" a="1"/>
  <c r="N1504" i="1"/>
  <c r="M1504" i="1"/>
  <c r="O1503" i="1"/>
  <c r="O1503" i="1" a="1"/>
  <c r="N1503" i="1"/>
  <c r="M1503" i="1"/>
  <c r="O1502" i="1"/>
  <c r="O1502" i="1" a="1"/>
  <c r="N1502" i="1"/>
  <c r="M1502" i="1"/>
  <c r="O1501" i="1"/>
  <c r="O1501" i="1" a="1"/>
  <c r="N1501" i="1"/>
  <c r="M1501" i="1"/>
  <c r="O1500" i="1"/>
  <c r="O1500" i="1" a="1"/>
  <c r="N1500" i="1"/>
  <c r="M1500" i="1"/>
  <c r="O1499" i="1"/>
  <c r="O1499" i="1" a="1"/>
  <c r="N1499" i="1"/>
  <c r="M1499" i="1"/>
  <c r="O1498" i="1"/>
  <c r="O1498" i="1" a="1"/>
  <c r="N1498" i="1"/>
  <c r="M1498" i="1"/>
  <c r="O1497" i="1"/>
  <c r="O1497" i="1" a="1"/>
  <c r="N1497" i="1"/>
  <c r="M1497" i="1"/>
  <c r="O1496" i="1"/>
  <c r="O1496" i="1" a="1"/>
  <c r="N1496" i="1"/>
  <c r="M1496" i="1"/>
  <c r="O1495" i="1"/>
  <c r="O1495" i="1" a="1"/>
  <c r="N1495" i="1"/>
  <c r="M1495" i="1"/>
  <c r="O1494" i="1"/>
  <c r="O1494" i="1" a="1"/>
  <c r="N1494" i="1"/>
  <c r="M1494" i="1"/>
  <c r="O1493" i="1"/>
  <c r="O1493" i="1" a="1"/>
  <c r="N1493" i="1"/>
  <c r="M1493" i="1"/>
  <c r="O1492" i="1"/>
  <c r="O1492" i="1" a="1"/>
  <c r="N1492" i="1"/>
  <c r="M1492" i="1"/>
  <c r="O1491" i="1"/>
  <c r="O1491" i="1" a="1"/>
  <c r="N1491" i="1"/>
  <c r="M1491" i="1"/>
  <c r="O1490" i="1"/>
  <c r="O1490" i="1" a="1"/>
  <c r="N1490" i="1"/>
  <c r="M1490" i="1"/>
  <c r="O1489" i="1"/>
  <c r="O1489" i="1" a="1"/>
  <c r="N1489" i="1"/>
  <c r="M1489" i="1"/>
  <c r="O1488" i="1"/>
  <c r="O1488" i="1" a="1"/>
  <c r="N1488" i="1"/>
  <c r="M1488" i="1"/>
  <c r="O1487" i="1"/>
  <c r="O1487" i="1" a="1"/>
  <c r="N1487" i="1"/>
  <c r="M1487" i="1"/>
  <c r="O1486" i="1"/>
  <c r="O1486" i="1" a="1"/>
  <c r="N1486" i="1"/>
  <c r="M1486" i="1"/>
  <c r="O1485" i="1"/>
  <c r="O1485" i="1" a="1"/>
  <c r="N1485" i="1"/>
  <c r="M1485" i="1"/>
  <c r="O1484" i="1"/>
  <c r="O1484" i="1" a="1"/>
  <c r="N1484" i="1"/>
  <c r="M1484" i="1"/>
  <c r="O1483" i="1"/>
  <c r="O1483" i="1" a="1"/>
  <c r="N1483" i="1"/>
  <c r="M1483" i="1"/>
  <c r="O1482" i="1"/>
  <c r="O1482" i="1" a="1"/>
  <c r="N1482" i="1"/>
  <c r="M1482" i="1"/>
  <c r="O1481" i="1"/>
  <c r="O1481" i="1" a="1"/>
  <c r="N1481" i="1"/>
  <c r="M1481" i="1"/>
  <c r="O1480" i="1"/>
  <c r="O1480" i="1" a="1"/>
  <c r="N1480" i="1"/>
  <c r="M1480" i="1"/>
  <c r="O1479" i="1"/>
  <c r="O1479" i="1" a="1"/>
  <c r="N1479" i="1"/>
  <c r="M1479" i="1"/>
  <c r="O1478" i="1"/>
  <c r="O1478" i="1" a="1"/>
  <c r="N1478" i="1"/>
  <c r="M1478" i="1"/>
  <c r="O1477" i="1"/>
  <c r="O1477" i="1" a="1"/>
  <c r="N1477" i="1"/>
  <c r="M1477" i="1"/>
  <c r="O1476" i="1"/>
  <c r="O1476" i="1" a="1"/>
  <c r="N1476" i="1"/>
  <c r="M1476" i="1"/>
  <c r="O1475" i="1"/>
  <c r="O1475" i="1" a="1"/>
  <c r="N1475" i="1"/>
  <c r="M1475" i="1"/>
  <c r="O1474" i="1"/>
  <c r="O1474" i="1" a="1"/>
  <c r="N1474" i="1"/>
  <c r="M1474" i="1"/>
  <c r="O1473" i="1"/>
  <c r="O1473" i="1" a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/>
  <c r="O1469" i="1" a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 a="1"/>
  <c r="O1466" i="1" s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 a="1"/>
  <c r="O1460" i="1" s="1"/>
  <c r="N1460" i="1"/>
  <c r="M1460" i="1"/>
  <c r="O1459" i="1" a="1"/>
  <c r="O1459" i="1" s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 a="1"/>
  <c r="O1456" i="1" s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 a="1"/>
  <c r="O1446" i="1" s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 a="1"/>
  <c r="O1443" i="1" s="1"/>
  <c r="N1443" i="1"/>
  <c r="M1443" i="1"/>
  <c r="O1442" i="1" a="1"/>
  <c r="O1442" i="1" s="1"/>
  <c r="N1442" i="1"/>
  <c r="M1442" i="1"/>
  <c r="O1441" i="1" a="1"/>
  <c r="O1441" i="1" s="1"/>
  <c r="N1441" i="1"/>
  <c r="M1441" i="1"/>
  <c r="O1440" i="1" a="1"/>
  <c r="O1440" i="1" s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 a="1"/>
  <c r="O1437" i="1" s="1"/>
  <c r="N1437" i="1"/>
  <c r="M1437" i="1"/>
  <c r="O1436" i="1" a="1"/>
  <c r="O1436" i="1" s="1"/>
  <c r="N1436" i="1"/>
  <c r="M1436" i="1"/>
  <c r="O1435" i="1" a="1"/>
  <c r="O1435" i="1" s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 a="1"/>
  <c r="O1430" i="1" s="1"/>
  <c r="N1430" i="1"/>
  <c r="M1430" i="1"/>
  <c r="O1429" i="1" a="1"/>
  <c r="O1429" i="1" s="1"/>
  <c r="N1429" i="1"/>
  <c r="M1429" i="1"/>
  <c r="O1428" i="1" a="1"/>
  <c r="O1428" i="1" s="1"/>
  <c r="N1428" i="1"/>
  <c r="M1428" i="1"/>
  <c r="O1427" i="1" a="1"/>
  <c r="O1427" i="1" s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 a="1"/>
  <c r="O1421" i="1" s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 a="1"/>
  <c r="O1412" i="1" s="1"/>
  <c r="N1412" i="1"/>
  <c r="M1412" i="1"/>
  <c r="O1411" i="1" a="1"/>
  <c r="O1411" i="1" s="1"/>
  <c r="N1411" i="1"/>
  <c r="M1411" i="1"/>
  <c r="O1410" i="1" a="1"/>
  <c r="O1410" i="1" s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 a="1"/>
  <c r="O1401" i="1" s="1"/>
  <c r="N1401" i="1"/>
  <c r="M1401" i="1"/>
  <c r="O1400" i="1" a="1"/>
  <c r="O1400" i="1" s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 a="1"/>
  <c r="O1394" i="1" s="1"/>
  <c r="N1394" i="1"/>
  <c r="M1394" i="1"/>
  <c r="O1393" i="1" a="1"/>
  <c r="O1393" i="1" s="1"/>
  <c r="N1393" i="1"/>
  <c r="M1393" i="1"/>
  <c r="O1392" i="1" a="1"/>
  <c r="O1392" i="1" s="1"/>
  <c r="N1392" i="1"/>
  <c r="M1392" i="1"/>
  <c r="O1391" i="1" a="1"/>
  <c r="O1391" i="1" s="1"/>
  <c r="N1391" i="1"/>
  <c r="M1391" i="1"/>
  <c r="O1390" i="1" a="1"/>
  <c r="O1390" i="1" s="1"/>
  <c r="N1390" i="1"/>
  <c r="M1390" i="1"/>
  <c r="O1389" i="1" a="1"/>
  <c r="O1389" i="1" s="1"/>
  <c r="N1389" i="1"/>
  <c r="M1389" i="1"/>
  <c r="O1388" i="1" a="1"/>
  <c r="O1388" i="1" s="1"/>
  <c r="N1388" i="1"/>
  <c r="M1388" i="1"/>
  <c r="O1387" i="1" a="1"/>
  <c r="O1387" i="1" s="1"/>
  <c r="N1387" i="1"/>
  <c r="M1387" i="1"/>
  <c r="O1386" i="1" a="1"/>
  <c r="O1386" i="1" s="1"/>
  <c r="N1386" i="1"/>
  <c r="M1386" i="1"/>
  <c r="O1385" i="1" a="1"/>
  <c r="O1385" i="1" s="1"/>
  <c r="N1385" i="1"/>
  <c r="M1385" i="1"/>
  <c r="O1384" i="1" a="1"/>
  <c r="O1384" i="1" s="1"/>
  <c r="N1384" i="1"/>
  <c r="M1384" i="1"/>
  <c r="O1383" i="1" a="1"/>
  <c r="O1383" i="1" s="1"/>
  <c r="N1383" i="1"/>
  <c r="M1383" i="1"/>
  <c r="O1382" i="1" a="1"/>
  <c r="O1382" i="1" s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 a="1"/>
  <c r="O1379" i="1" s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 a="1"/>
  <c r="O1375" i="1" s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 a="1"/>
  <c r="O1372" i="1" s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 a="1"/>
  <c r="O1368" i="1" s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 a="1"/>
  <c r="O1365" i="1" s="1"/>
  <c r="N1365" i="1"/>
  <c r="M1365" i="1"/>
  <c r="O1364" i="1" a="1"/>
  <c r="O1364" i="1" s="1"/>
  <c r="N1364" i="1"/>
  <c r="M1364" i="1"/>
  <c r="O1363" i="1" a="1"/>
  <c r="O1363" i="1" s="1"/>
  <c r="N1363" i="1"/>
  <c r="M1363" i="1"/>
  <c r="O1362" i="1" a="1"/>
  <c r="O1362" i="1" s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 a="1"/>
  <c r="O1358" i="1" s="1"/>
  <c r="N1358" i="1"/>
  <c r="M1358" i="1"/>
  <c r="O1357" i="1" a="1"/>
  <c r="O1357" i="1" s="1"/>
  <c r="N1357" i="1"/>
  <c r="M1357" i="1"/>
  <c r="O1356" i="1" a="1"/>
  <c r="O1356" i="1" s="1"/>
  <c r="N1356" i="1"/>
  <c r="M1356" i="1"/>
  <c r="O1355" i="1" a="1"/>
  <c r="O1355" i="1" s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 a="1"/>
  <c r="O1352" i="1" s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 a="1"/>
  <c r="O1344" i="1" s="1"/>
  <c r="N1344" i="1"/>
  <c r="M1344" i="1"/>
  <c r="O1343" i="1" a="1"/>
  <c r="O1343" i="1" s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 a="1"/>
  <c r="O1337" i="1" s="1"/>
  <c r="N1337" i="1"/>
  <c r="M1337" i="1"/>
  <c r="O1336" i="1" a="1"/>
  <c r="O1336" i="1" s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 a="1"/>
  <c r="O1330" i="1" s="1"/>
  <c r="N1330" i="1"/>
  <c r="M1330" i="1"/>
  <c r="O1329" i="1" a="1"/>
  <c r="O1329" i="1" s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 a="1"/>
  <c r="O1323" i="1" s="1"/>
  <c r="N1323" i="1"/>
  <c r="M1323" i="1"/>
  <c r="O1322" i="1" a="1"/>
  <c r="O1322" i="1" s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 a="1"/>
  <c r="O1316" i="1" s="1"/>
  <c r="N1316" i="1"/>
  <c r="M1316" i="1"/>
  <c r="O1315" i="1" a="1"/>
  <c r="O1315" i="1" s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 a="1"/>
  <c r="O1309" i="1" s="1"/>
  <c r="N1309" i="1"/>
  <c r="M1309" i="1"/>
  <c r="O1308" i="1" a="1"/>
  <c r="O1308" i="1" s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 a="1"/>
  <c r="O1302" i="1" s="1"/>
  <c r="N1302" i="1"/>
  <c r="M1302" i="1"/>
  <c r="O1301" i="1" a="1"/>
  <c r="O1301" i="1" s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 a="1"/>
  <c r="O1295" i="1" s="1"/>
  <c r="N1295" i="1"/>
  <c r="M1295" i="1"/>
  <c r="O1294" i="1" a="1"/>
  <c r="O1294" i="1" s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 a="1"/>
  <c r="O1288" i="1" s="1"/>
  <c r="N1288" i="1"/>
  <c r="M1288" i="1"/>
  <c r="O1287" i="1" a="1"/>
  <c r="O1287" i="1" s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 a="1"/>
  <c r="O1284" i="1" s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 a="1"/>
  <c r="O1281" i="1" s="1"/>
  <c r="N1281" i="1"/>
  <c r="M1281" i="1"/>
  <c r="O1280" i="1" a="1"/>
  <c r="O1280" i="1" s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 a="1"/>
  <c r="O1274" i="1" s="1"/>
  <c r="N1274" i="1"/>
  <c r="M1274" i="1"/>
  <c r="O1273" i="1" a="1"/>
  <c r="O1273" i="1" s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 a="1"/>
  <c r="O1267" i="1" s="1"/>
  <c r="N1267" i="1"/>
  <c r="M1267" i="1"/>
  <c r="O1266" i="1" a="1"/>
  <c r="O1266" i="1" s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 a="1"/>
  <c r="O1263" i="1" s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 a="1"/>
  <c r="O1260" i="1" s="1"/>
  <c r="N1260" i="1"/>
  <c r="M1260" i="1"/>
  <c r="O1259" i="1" a="1"/>
  <c r="O1259" i="1" s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 a="1"/>
  <c r="O1255" i="1" s="1"/>
  <c r="N1255" i="1"/>
  <c r="M1255" i="1"/>
  <c r="O1254" i="1" a="1"/>
  <c r="O1254" i="1" s="1"/>
  <c r="N1254" i="1"/>
  <c r="M1254" i="1"/>
  <c r="O1253" i="1" a="1"/>
  <c r="O1253" i="1" s="1"/>
  <c r="N1253" i="1"/>
  <c r="M1253" i="1"/>
  <c r="O1252" i="1" a="1"/>
  <c r="O1252" i="1" s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 a="1"/>
  <c r="O1246" i="1" s="1"/>
  <c r="N1246" i="1"/>
  <c r="M1246" i="1"/>
  <c r="O1245" i="1" a="1"/>
  <c r="O1245" i="1" s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 a="1"/>
  <c r="O1239" i="1" s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 a="1"/>
  <c r="O1233" i="1" s="1"/>
  <c r="N1233" i="1"/>
  <c r="M1233" i="1"/>
  <c r="O1232" i="1" a="1"/>
  <c r="O1232" i="1" s="1"/>
  <c r="N1232" i="1"/>
  <c r="M1232" i="1"/>
  <c r="O1231" i="1" a="1"/>
  <c r="O1231" i="1" s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 a="1"/>
  <c r="O1225" i="1" s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 a="1"/>
  <c r="O1218" i="1" s="1"/>
  <c r="N1218" i="1"/>
  <c r="M1218" i="1"/>
  <c r="O1217" i="1" a="1"/>
  <c r="O1217" i="1" s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 a="1"/>
  <c r="O1213" i="1" s="1"/>
  <c r="N1213" i="1"/>
  <c r="M1213" i="1"/>
  <c r="O1212" i="1" a="1"/>
  <c r="O1212" i="1" s="1"/>
  <c r="N1212" i="1"/>
  <c r="M1212" i="1"/>
  <c r="O1211" i="1" a="1"/>
  <c r="O1211" i="1" s="1"/>
  <c r="N1211" i="1"/>
  <c r="M1211" i="1"/>
  <c r="O1210" i="1" a="1"/>
  <c r="O1210" i="1" s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 a="1"/>
  <c r="O1204" i="1" s="1"/>
  <c r="N1204" i="1"/>
  <c r="M1204" i="1"/>
  <c r="O1203" i="1" a="1"/>
  <c r="O1203" i="1" s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 a="1"/>
  <c r="O1198" i="1" s="1"/>
  <c r="N1198" i="1"/>
  <c r="M1198" i="1"/>
  <c r="O1197" i="1" a="1"/>
  <c r="O1197" i="1" s="1"/>
  <c r="N1197" i="1"/>
  <c r="M1197" i="1"/>
  <c r="O1196" i="1" a="1"/>
  <c r="O1196" i="1" s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 a="1"/>
  <c r="O1190" i="1" s="1"/>
  <c r="N1190" i="1"/>
  <c r="M1190" i="1"/>
  <c r="O1189" i="1" a="1"/>
  <c r="O1189" i="1" s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 a="1"/>
  <c r="O1183" i="1" s="1"/>
  <c r="N1183" i="1"/>
  <c r="M1183" i="1"/>
  <c r="O1182" i="1" a="1"/>
  <c r="O1182" i="1" s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 a="1"/>
  <c r="O1176" i="1" s="1"/>
  <c r="N1176" i="1"/>
  <c r="M1176" i="1"/>
  <c r="O1175" i="1" a="1"/>
  <c r="O1175" i="1" s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 a="1"/>
  <c r="O1169" i="1" s="1"/>
  <c r="N1169" i="1"/>
  <c r="M1169" i="1"/>
  <c r="O1168" i="1" a="1"/>
  <c r="O1168" i="1" s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 a="1"/>
  <c r="O1165" i="1" s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 a="1"/>
  <c r="O1162" i="1" s="1"/>
  <c r="N1162" i="1"/>
  <c r="M1162" i="1"/>
  <c r="O1161" i="1" a="1"/>
  <c r="O1161" i="1" s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 a="1"/>
  <c r="O1157" i="1" s="1"/>
  <c r="N1157" i="1"/>
  <c r="M1157" i="1"/>
  <c r="O1156" i="1" a="1"/>
  <c r="O1156" i="1" s="1"/>
  <c r="N1156" i="1"/>
  <c r="M1156" i="1"/>
  <c r="O1155" i="1" a="1"/>
  <c r="O1155" i="1" s="1"/>
  <c r="N1155" i="1"/>
  <c r="M1155" i="1"/>
  <c r="O1154" i="1" a="1"/>
  <c r="O1154" i="1" s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 a="1"/>
  <c r="O1148" i="1" s="1"/>
  <c r="N1148" i="1"/>
  <c r="M1148" i="1"/>
  <c r="O1147" i="1" a="1"/>
  <c r="O1147" i="1" s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 a="1"/>
  <c r="O1142" i="1" s="1"/>
  <c r="N1142" i="1"/>
  <c r="M1142" i="1"/>
  <c r="O1141" i="1" a="1"/>
  <c r="O1141" i="1" s="1"/>
  <c r="N1141" i="1"/>
  <c r="M1141" i="1"/>
  <c r="O1140" i="1" a="1"/>
  <c r="O1140" i="1" s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 a="1"/>
  <c r="O1134" i="1" s="1"/>
  <c r="N1134" i="1"/>
  <c r="M1134" i="1"/>
  <c r="O1133" i="1" a="1"/>
  <c r="O1133" i="1" s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 a="1"/>
  <c r="O1130" i="1" s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 a="1"/>
  <c r="O1127" i="1" s="1"/>
  <c r="N1127" i="1"/>
  <c r="M1127" i="1"/>
  <c r="O1126" i="1" a="1"/>
  <c r="O1126" i="1" s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 a="1"/>
  <c r="O1120" i="1" s="1"/>
  <c r="N1120" i="1"/>
  <c r="M1120" i="1"/>
  <c r="O1119" i="1" a="1"/>
  <c r="O1119" i="1" s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 a="1"/>
  <c r="O1115" i="1" s="1"/>
  <c r="N1115" i="1"/>
  <c r="M1115" i="1"/>
  <c r="O1114" i="1" a="1"/>
  <c r="O1114" i="1" s="1"/>
  <c r="N1114" i="1"/>
  <c r="M1114" i="1"/>
  <c r="O1113" i="1" a="1"/>
  <c r="O1113" i="1" s="1"/>
  <c r="N1113" i="1"/>
  <c r="M1113" i="1"/>
  <c r="O1112" i="1" a="1"/>
  <c r="O1112" i="1" s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 a="1"/>
  <c r="O1106" i="1" s="1"/>
  <c r="N1106" i="1"/>
  <c r="M1106" i="1"/>
  <c r="O1105" i="1" a="1"/>
  <c r="O1105" i="1" s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 a="1"/>
  <c r="O1099" i="1" s="1"/>
  <c r="N1099" i="1"/>
  <c r="M1099" i="1"/>
  <c r="O1098" i="1" a="1"/>
  <c r="O1098" i="1" s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 a="1"/>
  <c r="O1094" i="1" s="1"/>
  <c r="N1094" i="1"/>
  <c r="M1094" i="1"/>
  <c r="O1093" i="1" a="1"/>
  <c r="O1093" i="1" s="1"/>
  <c r="N1093" i="1"/>
  <c r="M1093" i="1"/>
  <c r="O1092" i="1" a="1"/>
  <c r="O1092" i="1" s="1"/>
  <c r="N1092" i="1"/>
  <c r="M1092" i="1"/>
  <c r="O1091" i="1" a="1"/>
  <c r="O1091" i="1" s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 a="1"/>
  <c r="O1085" i="1" s="1"/>
  <c r="N1085" i="1"/>
  <c r="M1085" i="1"/>
  <c r="O1084" i="1" a="1"/>
  <c r="O1084" i="1" s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 a="1"/>
  <c r="O1079" i="1" s="1"/>
  <c r="N1079" i="1"/>
  <c r="M1079" i="1"/>
  <c r="O1078" i="1" a="1"/>
  <c r="O1078" i="1" s="1"/>
  <c r="N1078" i="1"/>
  <c r="M1078" i="1"/>
  <c r="O1077" i="1" a="1"/>
  <c r="O1077" i="1" s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 a="1"/>
  <c r="O1073" i="1" s="1"/>
  <c r="N1073" i="1"/>
  <c r="M1073" i="1"/>
  <c r="O1072" i="1" a="1"/>
  <c r="O1072" i="1" s="1"/>
  <c r="N1072" i="1"/>
  <c r="M1072" i="1"/>
  <c r="O1071" i="1" a="1"/>
  <c r="O1071" i="1" s="1"/>
  <c r="N1071" i="1"/>
  <c r="M1071" i="1"/>
  <c r="O1070" i="1" a="1"/>
  <c r="O1070" i="1" s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 a="1"/>
  <c r="O1064" i="1" s="1"/>
  <c r="N1064" i="1"/>
  <c r="M1064" i="1"/>
  <c r="O1063" i="1" a="1"/>
  <c r="O1063" i="1" s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 a="1"/>
  <c r="O1056" i="1" s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 a="1"/>
  <c r="O1049" i="1" s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 a="1"/>
  <c r="O1042" i="1" s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 a="1"/>
  <c r="O1035" i="1" s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 a="1"/>
  <c r="O1028" i="1" s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 a="1"/>
  <c r="O1025" i="1" s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 a="1"/>
  <c r="O1021" i="1" s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 a="1"/>
  <c r="O1014" i="1" s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 a="1"/>
  <c r="O1007" i="1" s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 a="1"/>
  <c r="O1002" i="1" s="1"/>
  <c r="N1002" i="1"/>
  <c r="M1002" i="1"/>
  <c r="O1001" i="1" a="1"/>
  <c r="O1001" i="1" s="1"/>
  <c r="N1001" i="1"/>
  <c r="M1001" i="1"/>
  <c r="O1000" i="1" a="1"/>
  <c r="O1000" i="1" s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 a="1"/>
  <c r="O995" i="1" s="1"/>
  <c r="N995" i="1"/>
  <c r="M995" i="1"/>
  <c r="O994" i="1" a="1"/>
  <c r="O994" i="1" s="1"/>
  <c r="N994" i="1"/>
  <c r="M994" i="1"/>
  <c r="O993" i="1" a="1"/>
  <c r="O993" i="1" s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 a="1"/>
  <c r="O986" i="1" s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 a="1"/>
  <c r="O981" i="1" s="1"/>
  <c r="N981" i="1"/>
  <c r="M981" i="1"/>
  <c r="O980" i="1" a="1"/>
  <c r="O980" i="1" s="1"/>
  <c r="N980" i="1"/>
  <c r="M980" i="1"/>
  <c r="O979" i="1" a="1"/>
  <c r="O979" i="1" s="1"/>
  <c r="N979" i="1"/>
  <c r="M979" i="1"/>
  <c r="O978" i="1" a="1"/>
  <c r="O978" i="1" s="1"/>
  <c r="N978" i="1"/>
  <c r="M978" i="1"/>
  <c r="O977" i="1" a="1"/>
  <c r="O977" i="1" s="1"/>
  <c r="N977" i="1"/>
  <c r="M977" i="1"/>
  <c r="O976" i="1" a="1"/>
  <c r="O976" i="1" s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 a="1"/>
  <c r="O972" i="1" s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 a="1"/>
  <c r="O968" i="1" s="1"/>
  <c r="N968" i="1"/>
  <c r="M968" i="1"/>
  <c r="O967" i="1" a="1"/>
  <c r="O967" i="1" s="1"/>
  <c r="N967" i="1"/>
  <c r="M967" i="1"/>
  <c r="O966" i="1" a="1"/>
  <c r="O966" i="1" s="1"/>
  <c r="N966" i="1"/>
  <c r="M966" i="1"/>
  <c r="O965" i="1" a="1"/>
  <c r="O965" i="1" s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 a="1"/>
  <c r="O960" i="1" s="1"/>
  <c r="N960" i="1"/>
  <c r="M960" i="1"/>
  <c r="O959" i="1" a="1"/>
  <c r="O959" i="1" s="1"/>
  <c r="N959" i="1"/>
  <c r="M959" i="1"/>
  <c r="O958" i="1" a="1"/>
  <c r="O958" i="1" s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 a="1"/>
  <c r="O951" i="1" s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 a="1"/>
  <c r="O944" i="1" s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 a="1"/>
  <c r="O937" i="1" s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 a="1"/>
  <c r="O933" i="1" s="1"/>
  <c r="N933" i="1"/>
  <c r="M933" i="1"/>
  <c r="O932" i="1" a="1"/>
  <c r="O932" i="1" s="1"/>
  <c r="N932" i="1"/>
  <c r="M932" i="1"/>
  <c r="O931" i="1" a="1"/>
  <c r="O931" i="1" s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 a="1"/>
  <c r="O923" i="1" s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 a="1"/>
  <c r="O916" i="1" s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 a="1"/>
  <c r="O912" i="1" s="1"/>
  <c r="N912" i="1"/>
  <c r="M912" i="1"/>
  <c r="O911" i="1" a="1"/>
  <c r="O911" i="1" s="1"/>
  <c r="N911" i="1"/>
  <c r="M911" i="1"/>
  <c r="O910" i="1" a="1"/>
  <c r="O910" i="1" s="1"/>
  <c r="N910" i="1"/>
  <c r="M910" i="1"/>
  <c r="O909" i="1" a="1"/>
  <c r="O909" i="1" s="1"/>
  <c r="N909" i="1"/>
  <c r="M909" i="1"/>
  <c r="O908" i="1" a="1"/>
  <c r="O908" i="1" s="1"/>
  <c r="N908" i="1"/>
  <c r="M908" i="1"/>
  <c r="O907" i="1" a="1"/>
  <c r="O907" i="1" s="1"/>
  <c r="N907" i="1"/>
  <c r="M907" i="1"/>
  <c r="O906" i="1" a="1"/>
  <c r="O906" i="1" s="1"/>
  <c r="N906" i="1"/>
  <c r="M906" i="1"/>
  <c r="O905" i="1" a="1"/>
  <c r="O905" i="1" s="1"/>
  <c r="N905" i="1"/>
  <c r="M905" i="1"/>
  <c r="O904" i="1" a="1"/>
  <c r="O904" i="1" s="1"/>
  <c r="N904" i="1"/>
  <c r="M904" i="1"/>
  <c r="O903" i="1" a="1"/>
  <c r="O903" i="1" s="1"/>
  <c r="N903" i="1"/>
  <c r="M903" i="1"/>
  <c r="O902" i="1" a="1"/>
  <c r="O902" i="1" s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 a="1"/>
  <c r="O896" i="1" s="1"/>
  <c r="N896" i="1"/>
  <c r="M896" i="1"/>
  <c r="O895" i="1" a="1"/>
  <c r="O895" i="1" s="1"/>
  <c r="N895" i="1"/>
  <c r="M895" i="1"/>
  <c r="O894" i="1" a="1"/>
  <c r="O894" i="1" s="1"/>
  <c r="N894" i="1"/>
  <c r="M894" i="1"/>
  <c r="O893" i="1" a="1"/>
  <c r="O893" i="1" s="1"/>
  <c r="N893" i="1"/>
  <c r="M893" i="1"/>
  <c r="O892" i="1" a="1"/>
  <c r="O892" i="1" s="1"/>
  <c r="N892" i="1"/>
  <c r="M892" i="1"/>
  <c r="O891" i="1" a="1"/>
  <c r="O891" i="1" s="1"/>
  <c r="N891" i="1"/>
  <c r="M891" i="1"/>
  <c r="O890" i="1" a="1"/>
  <c r="O890" i="1" s="1"/>
  <c r="N890" i="1"/>
  <c r="M890" i="1"/>
  <c r="O889" i="1" a="1"/>
  <c r="O889" i="1" s="1"/>
  <c r="N889" i="1"/>
  <c r="M889" i="1"/>
  <c r="O888" i="1" a="1"/>
  <c r="O888" i="1" s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 a="1"/>
  <c r="O881" i="1" s="1"/>
  <c r="N881" i="1"/>
  <c r="M881" i="1"/>
  <c r="O880" i="1" a="1"/>
  <c r="O880" i="1" s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 a="1"/>
  <c r="O876" i="1" s="1"/>
  <c r="N876" i="1"/>
  <c r="M876" i="1"/>
  <c r="O875" i="1" a="1"/>
  <c r="O875" i="1" s="1"/>
  <c r="N875" i="1"/>
  <c r="M875" i="1"/>
  <c r="O874" i="1" a="1"/>
  <c r="O874" i="1" s="1"/>
  <c r="N874" i="1"/>
  <c r="M874" i="1"/>
  <c r="O873" i="1" a="1"/>
  <c r="O873" i="1" s="1"/>
  <c r="N873" i="1"/>
  <c r="M873" i="1"/>
  <c r="O872" i="1" a="1"/>
  <c r="O872" i="1" s="1"/>
  <c r="N872" i="1"/>
  <c r="M872" i="1"/>
  <c r="O871" i="1" a="1"/>
  <c r="O871" i="1" s="1"/>
  <c r="N871" i="1"/>
  <c r="M871" i="1"/>
  <c r="O870" i="1" a="1"/>
  <c r="O870" i="1" s="1"/>
  <c r="N870" i="1"/>
  <c r="M870" i="1"/>
  <c r="O869" i="1" a="1"/>
  <c r="O869" i="1" s="1"/>
  <c r="N869" i="1"/>
  <c r="M869" i="1"/>
  <c r="O868" i="1" a="1"/>
  <c r="O868" i="1" s="1"/>
  <c r="N868" i="1"/>
  <c r="M868" i="1"/>
  <c r="O867" i="1" a="1"/>
  <c r="O867" i="1" s="1"/>
  <c r="N867" i="1"/>
  <c r="M867" i="1"/>
  <c r="O866" i="1" a="1"/>
  <c r="O866" i="1" s="1"/>
  <c r="N866" i="1"/>
  <c r="M866" i="1"/>
  <c r="O865" i="1" a="1"/>
  <c r="O865" i="1" s="1"/>
  <c r="N865" i="1"/>
  <c r="M865" i="1"/>
  <c r="O864" i="1" a="1"/>
  <c r="O864" i="1" s="1"/>
  <c r="N864" i="1"/>
  <c r="M864" i="1"/>
  <c r="O863" i="1" a="1"/>
  <c r="O863" i="1" s="1"/>
  <c r="N863" i="1"/>
  <c r="M863" i="1"/>
  <c r="O862" i="1" a="1"/>
  <c r="O862" i="1" s="1"/>
  <c r="N862" i="1"/>
  <c r="M862" i="1"/>
  <c r="O861" i="1" a="1"/>
  <c r="O861" i="1" s="1"/>
  <c r="N861" i="1"/>
  <c r="M861" i="1"/>
  <c r="O860" i="1" a="1"/>
  <c r="O860" i="1" s="1"/>
  <c r="N860" i="1"/>
  <c r="M860" i="1"/>
  <c r="O859" i="1" a="1"/>
  <c r="O859" i="1" s="1"/>
  <c r="N859" i="1"/>
  <c r="M859" i="1"/>
  <c r="O858" i="1" a="1"/>
  <c r="O858" i="1" s="1"/>
  <c r="N858" i="1"/>
  <c r="M858" i="1"/>
  <c r="O857" i="1" a="1"/>
  <c r="O857" i="1" s="1"/>
  <c r="N857" i="1"/>
  <c r="M857" i="1"/>
  <c r="O856" i="1" a="1"/>
  <c r="O856" i="1" s="1"/>
  <c r="N856" i="1"/>
  <c r="M856" i="1"/>
  <c r="O855" i="1" a="1"/>
  <c r="O855" i="1" s="1"/>
  <c r="N855" i="1"/>
  <c r="M855" i="1"/>
  <c r="O854" i="1" a="1"/>
  <c r="O854" i="1" s="1"/>
  <c r="N854" i="1"/>
  <c r="M854" i="1"/>
  <c r="O853" i="1" a="1"/>
  <c r="O853" i="1" s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 a="1"/>
  <c r="O849" i="1" s="1"/>
  <c r="N849" i="1"/>
  <c r="M849" i="1"/>
  <c r="O848" i="1" a="1"/>
  <c r="O848" i="1" s="1"/>
  <c r="N848" i="1"/>
  <c r="M848" i="1"/>
  <c r="O847" i="1" a="1"/>
  <c r="O847" i="1" s="1"/>
  <c r="N847" i="1"/>
  <c r="M847" i="1"/>
  <c r="O846" i="1" a="1"/>
  <c r="O846" i="1" s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 a="1"/>
  <c r="O839" i="1" s="1"/>
  <c r="N839" i="1"/>
  <c r="M839" i="1"/>
  <c r="O838" i="1" a="1"/>
  <c r="O838" i="1" s="1"/>
  <c r="N838" i="1"/>
  <c r="M838" i="1"/>
  <c r="O837" i="1" a="1"/>
  <c r="O837" i="1" s="1"/>
  <c r="N837" i="1"/>
  <c r="M837" i="1"/>
  <c r="O836" i="1" a="1"/>
  <c r="O836" i="1" s="1"/>
  <c r="N836" i="1"/>
  <c r="M836" i="1"/>
  <c r="O835" i="1" a="1"/>
  <c r="O835" i="1" s="1"/>
  <c r="N835" i="1"/>
  <c r="M835" i="1"/>
  <c r="O834" i="1" a="1"/>
  <c r="O834" i="1" s="1"/>
  <c r="N834" i="1"/>
  <c r="M834" i="1"/>
  <c r="O833" i="1" a="1"/>
  <c r="O833" i="1" s="1"/>
  <c r="N833" i="1"/>
  <c r="M833" i="1"/>
  <c r="O832" i="1" a="1"/>
  <c r="O832" i="1" s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 a="1"/>
  <c r="O825" i="1" s="1"/>
  <c r="N825" i="1"/>
  <c r="M825" i="1"/>
  <c r="O824" i="1" a="1"/>
  <c r="O824" i="1" s="1"/>
  <c r="N824" i="1"/>
  <c r="M824" i="1"/>
  <c r="O823" i="1" a="1"/>
  <c r="O823" i="1" s="1"/>
  <c r="N823" i="1"/>
  <c r="M823" i="1"/>
  <c r="O822" i="1" a="1"/>
  <c r="O822" i="1" s="1"/>
  <c r="N822" i="1"/>
  <c r="M822" i="1"/>
  <c r="O821" i="1" a="1"/>
  <c r="O821" i="1" s="1"/>
  <c r="N821" i="1"/>
  <c r="M821" i="1"/>
  <c r="O820" i="1" a="1"/>
  <c r="O820" i="1" s="1"/>
  <c r="N820" i="1"/>
  <c r="M820" i="1"/>
  <c r="O819" i="1" a="1"/>
  <c r="O819" i="1" s="1"/>
  <c r="N819" i="1"/>
  <c r="M819" i="1"/>
  <c r="O818" i="1" a="1"/>
  <c r="O818" i="1" s="1"/>
  <c r="N818" i="1"/>
  <c r="M818" i="1"/>
  <c r="O817" i="1" a="1"/>
  <c r="O817" i="1" s="1"/>
  <c r="N817" i="1"/>
  <c r="M817" i="1"/>
  <c r="O816" i="1" a="1"/>
  <c r="O816" i="1" s="1"/>
  <c r="N816" i="1"/>
  <c r="M816" i="1"/>
  <c r="O815" i="1" a="1"/>
  <c r="O815" i="1" s="1"/>
  <c r="N815" i="1"/>
  <c r="M815" i="1"/>
  <c r="O814" i="1" a="1"/>
  <c r="O814" i="1" s="1"/>
  <c r="N814" i="1"/>
  <c r="M814" i="1"/>
  <c r="O813" i="1" a="1"/>
  <c r="O813" i="1" s="1"/>
  <c r="N813" i="1"/>
  <c r="M813" i="1"/>
  <c r="O812" i="1" a="1"/>
  <c r="O812" i="1" s="1"/>
  <c r="N812" i="1"/>
  <c r="M812" i="1"/>
  <c r="O811" i="1" a="1"/>
  <c r="O811" i="1" s="1"/>
  <c r="N811" i="1"/>
  <c r="M811" i="1"/>
  <c r="O810" i="1" a="1"/>
  <c r="O810" i="1" s="1"/>
  <c r="N810" i="1"/>
  <c r="M810" i="1"/>
  <c r="O809" i="1" a="1"/>
  <c r="O809" i="1" s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 a="1"/>
  <c r="O804" i="1" s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 a="1"/>
  <c r="O800" i="1" s="1"/>
  <c r="N800" i="1"/>
  <c r="M800" i="1"/>
  <c r="O799" i="1" a="1"/>
  <c r="O799" i="1" s="1"/>
  <c r="N799" i="1"/>
  <c r="M799" i="1"/>
  <c r="O798" i="1" a="1"/>
  <c r="O798" i="1" s="1"/>
  <c r="N798" i="1"/>
  <c r="M798" i="1"/>
  <c r="O797" i="1" a="1"/>
  <c r="O797" i="1" s="1"/>
  <c r="N797" i="1"/>
  <c r="M797" i="1"/>
  <c r="O796" i="1" a="1"/>
  <c r="O796" i="1" s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 a="1"/>
  <c r="O792" i="1" s="1"/>
  <c r="N792" i="1"/>
  <c r="M792" i="1"/>
  <c r="O791" i="1" a="1"/>
  <c r="O791" i="1" s="1"/>
  <c r="N791" i="1"/>
  <c r="M791" i="1"/>
  <c r="O790" i="1" a="1"/>
  <c r="O790" i="1" s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 a="1"/>
  <c r="O785" i="1" s="1"/>
  <c r="N785" i="1"/>
  <c r="M785" i="1"/>
  <c r="O784" i="1" a="1"/>
  <c r="O784" i="1" s="1"/>
  <c r="N784" i="1"/>
  <c r="M784" i="1"/>
  <c r="O783" i="1" a="1"/>
  <c r="O783" i="1" s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 a="1"/>
  <c r="O776" i="1" s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 a="1"/>
  <c r="O770" i="1" s="1"/>
  <c r="N770" i="1"/>
  <c r="M770" i="1"/>
  <c r="O769" i="1" a="1"/>
  <c r="O769" i="1" s="1"/>
  <c r="N769" i="1"/>
  <c r="M769" i="1"/>
  <c r="O768" i="1" a="1"/>
  <c r="O768" i="1" s="1"/>
  <c r="N768" i="1"/>
  <c r="M768" i="1"/>
  <c r="O767" i="1" a="1"/>
  <c r="O767" i="1" s="1"/>
  <c r="N767" i="1"/>
  <c r="M767" i="1"/>
  <c r="O766" i="1" a="1"/>
  <c r="O766" i="1" s="1"/>
  <c r="N766" i="1"/>
  <c r="M766" i="1"/>
  <c r="O765" i="1" a="1"/>
  <c r="O765" i="1" s="1"/>
  <c r="N765" i="1"/>
  <c r="M765" i="1"/>
  <c r="O764" i="1" a="1"/>
  <c r="O764" i="1" s="1"/>
  <c r="N764" i="1"/>
  <c r="M764" i="1"/>
  <c r="O763" i="1" a="1"/>
  <c r="O763" i="1" s="1"/>
  <c r="N763" i="1"/>
  <c r="M763" i="1"/>
  <c r="O762" i="1" a="1"/>
  <c r="O762" i="1" s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 a="1"/>
  <c r="O758" i="1" s="1"/>
  <c r="N758" i="1"/>
  <c r="M758" i="1"/>
  <c r="O757" i="1" a="1"/>
  <c r="O757" i="1" s="1"/>
  <c r="N757" i="1"/>
  <c r="M757" i="1"/>
  <c r="O756" i="1" a="1"/>
  <c r="O756" i="1" s="1"/>
  <c r="N756" i="1"/>
  <c r="M756" i="1"/>
  <c r="O755" i="1" a="1"/>
  <c r="O755" i="1" s="1"/>
  <c r="N755" i="1"/>
  <c r="M755" i="1"/>
  <c r="O754" i="1" a="1"/>
  <c r="O754" i="1" s="1"/>
  <c r="N754" i="1"/>
  <c r="M754" i="1"/>
  <c r="O753" i="1" a="1"/>
  <c r="O753" i="1" s="1"/>
  <c r="N753" i="1"/>
  <c r="M753" i="1"/>
  <c r="O752" i="1" a="1"/>
  <c r="O752" i="1" s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 a="1"/>
  <c r="O748" i="1" s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 a="1"/>
  <c r="O741" i="1" s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 a="1"/>
  <c r="O737" i="1" s="1"/>
  <c r="N737" i="1"/>
  <c r="M737" i="1"/>
  <c r="O736" i="1" a="1"/>
  <c r="O736" i="1" s="1"/>
  <c r="N736" i="1"/>
  <c r="M736" i="1"/>
  <c r="O735" i="1" a="1"/>
  <c r="O735" i="1" s="1"/>
  <c r="N735" i="1"/>
  <c r="M735" i="1"/>
  <c r="O734" i="1" a="1"/>
  <c r="O734" i="1" s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 a="1"/>
  <c r="O727" i="1" s="1"/>
  <c r="N727" i="1"/>
  <c r="M727" i="1"/>
  <c r="O726" i="1" a="1"/>
  <c r="O726" i="1" s="1"/>
  <c r="N726" i="1"/>
  <c r="M726" i="1"/>
  <c r="O725" i="1" a="1"/>
  <c r="O725" i="1" s="1"/>
  <c r="N725" i="1"/>
  <c r="M725" i="1"/>
  <c r="O724" i="1" a="1"/>
  <c r="O724" i="1" s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 a="1"/>
  <c r="O720" i="1" s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 a="1"/>
  <c r="O716" i="1" s="1"/>
  <c r="N716" i="1"/>
  <c r="M716" i="1"/>
  <c r="O715" i="1" a="1"/>
  <c r="O715" i="1" s="1"/>
  <c r="N715" i="1"/>
  <c r="M715" i="1"/>
  <c r="O714" i="1" a="1"/>
  <c r="O714" i="1" s="1"/>
  <c r="N714" i="1"/>
  <c r="M714" i="1"/>
  <c r="O713" i="1" a="1"/>
  <c r="O713" i="1" s="1"/>
  <c r="N713" i="1"/>
  <c r="M713" i="1"/>
  <c r="O712" i="1" a="1"/>
  <c r="O712" i="1" s="1"/>
  <c r="N712" i="1"/>
  <c r="M712" i="1"/>
  <c r="O711" i="1" a="1"/>
  <c r="O711" i="1" s="1"/>
  <c r="N711" i="1"/>
  <c r="M711" i="1"/>
  <c r="O710" i="1" a="1"/>
  <c r="O710" i="1" s="1"/>
  <c r="N710" i="1"/>
  <c r="M710" i="1"/>
  <c r="O709" i="1" a="1"/>
  <c r="O709" i="1" s="1"/>
  <c r="N709" i="1"/>
  <c r="M709" i="1"/>
  <c r="O708" i="1" a="1"/>
  <c r="O708" i="1" s="1"/>
  <c r="N708" i="1"/>
  <c r="M708" i="1"/>
  <c r="O707" i="1" a="1"/>
  <c r="O707" i="1" s="1"/>
  <c r="N707" i="1"/>
  <c r="M707" i="1"/>
  <c r="O706" i="1" a="1"/>
  <c r="O706" i="1" s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/>
  <c r="O702" i="1" a="1"/>
  <c r="N702" i="1"/>
  <c r="M702" i="1"/>
  <c r="O701" i="1"/>
  <c r="O701" i="1" a="1"/>
  <c r="N701" i="1"/>
  <c r="M701" i="1"/>
  <c r="O700" i="1" a="1"/>
  <c r="O700" i="1" s="1"/>
  <c r="N700" i="1"/>
  <c r="M700" i="1"/>
  <c r="O699" i="1" a="1"/>
  <c r="O699" i="1" s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 a="1"/>
  <c r="O695" i="1" s="1"/>
  <c r="N695" i="1"/>
  <c r="M695" i="1"/>
  <c r="O694" i="1" a="1"/>
  <c r="O694" i="1" s="1"/>
  <c r="N694" i="1"/>
  <c r="M694" i="1"/>
  <c r="O693" i="1" a="1"/>
  <c r="O693" i="1" s="1"/>
  <c r="N693" i="1"/>
  <c r="M693" i="1"/>
  <c r="O692" i="1" a="1"/>
  <c r="O692" i="1" s="1"/>
  <c r="N692" i="1"/>
  <c r="M692" i="1"/>
  <c r="O691" i="1" a="1"/>
  <c r="O691" i="1" s="1"/>
  <c r="N691" i="1"/>
  <c r="M691" i="1"/>
  <c r="O690" i="1" a="1"/>
  <c r="O690" i="1" s="1"/>
  <c r="N690" i="1"/>
  <c r="M690" i="1"/>
  <c r="O689" i="1" a="1"/>
  <c r="O689" i="1" s="1"/>
  <c r="N689" i="1"/>
  <c r="M689" i="1"/>
  <c r="O688" i="1" a="1"/>
  <c r="O688" i="1" s="1"/>
  <c r="N688" i="1"/>
  <c r="M688" i="1"/>
  <c r="O687" i="1" a="1"/>
  <c r="O687" i="1" s="1"/>
  <c r="N687" i="1"/>
  <c r="M687" i="1"/>
  <c r="O686" i="1" a="1"/>
  <c r="O686" i="1" s="1"/>
  <c r="N686" i="1"/>
  <c r="M686" i="1"/>
  <c r="O685" i="1" a="1"/>
  <c r="O685" i="1" s="1"/>
  <c r="N685" i="1"/>
  <c r="M685" i="1"/>
  <c r="O684" i="1" a="1"/>
  <c r="O684" i="1" s="1"/>
  <c r="N684" i="1"/>
  <c r="M684" i="1"/>
  <c r="O683" i="1" a="1"/>
  <c r="O683" i="1" s="1"/>
  <c r="N683" i="1"/>
  <c r="M683" i="1"/>
  <c r="O682" i="1" a="1"/>
  <c r="O682" i="1" s="1"/>
  <c r="N682" i="1"/>
  <c r="M682" i="1"/>
  <c r="O681" i="1" a="1"/>
  <c r="O681" i="1" s="1"/>
  <c r="N681" i="1"/>
  <c r="M681" i="1"/>
  <c r="O680" i="1" a="1"/>
  <c r="O680" i="1" s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 a="1"/>
  <c r="O676" i="1" s="1"/>
  <c r="N676" i="1"/>
  <c r="M676" i="1"/>
  <c r="O675" i="1" a="1"/>
  <c r="O675" i="1" s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 a="1"/>
  <c r="O671" i="1" s="1"/>
  <c r="N671" i="1"/>
  <c r="M671" i="1"/>
  <c r="O670" i="1" a="1"/>
  <c r="O670" i="1" s="1"/>
  <c r="N670" i="1"/>
  <c r="M670" i="1"/>
  <c r="O669" i="1" a="1"/>
  <c r="O669" i="1" s="1"/>
  <c r="N669" i="1"/>
  <c r="M669" i="1"/>
  <c r="O668" i="1" a="1"/>
  <c r="O668" i="1" s="1"/>
  <c r="N668" i="1"/>
  <c r="M668" i="1"/>
  <c r="O667" i="1" a="1"/>
  <c r="O667" i="1" s="1"/>
  <c r="N667" i="1"/>
  <c r="M667" i="1"/>
  <c r="O666" i="1" a="1"/>
  <c r="O666" i="1" s="1"/>
  <c r="N666" i="1"/>
  <c r="M666" i="1"/>
  <c r="O665" i="1" a="1"/>
  <c r="O665" i="1" s="1"/>
  <c r="N665" i="1"/>
  <c r="M665" i="1"/>
  <c r="O664" i="1" a="1"/>
  <c r="O664" i="1" s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 a="1"/>
  <c r="O658" i="1" s="1"/>
  <c r="N658" i="1"/>
  <c r="M658" i="1"/>
  <c r="O657" i="1" a="1"/>
  <c r="O657" i="1" s="1"/>
  <c r="N657" i="1"/>
  <c r="M657" i="1"/>
  <c r="O656" i="1" a="1"/>
  <c r="O656" i="1" s="1"/>
  <c r="N656" i="1"/>
  <c r="M656" i="1"/>
  <c r="O655" i="1" a="1"/>
  <c r="O655" i="1" s="1"/>
  <c r="N655" i="1"/>
  <c r="M655" i="1"/>
  <c r="O654" i="1" a="1"/>
  <c r="O654" i="1" s="1"/>
  <c r="N654" i="1"/>
  <c r="M654" i="1"/>
  <c r="O653" i="1" a="1"/>
  <c r="O653" i="1" s="1"/>
  <c r="N653" i="1"/>
  <c r="M653" i="1"/>
  <c r="O652" i="1" a="1"/>
  <c r="O652" i="1" s="1"/>
  <c r="N652" i="1"/>
  <c r="M652" i="1"/>
  <c r="O651" i="1" a="1"/>
  <c r="O651" i="1" s="1"/>
  <c r="N651" i="1"/>
  <c r="M651" i="1"/>
  <c r="O650" i="1" a="1"/>
  <c r="O650" i="1" s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 a="1"/>
  <c r="O643" i="1" s="1"/>
  <c r="N643" i="1"/>
  <c r="M643" i="1"/>
  <c r="O642" i="1" a="1"/>
  <c r="O642" i="1" s="1"/>
  <c r="N642" i="1"/>
  <c r="M642" i="1"/>
  <c r="O641" i="1" a="1"/>
  <c r="O641" i="1" s="1"/>
  <c r="N641" i="1"/>
  <c r="M641" i="1"/>
  <c r="O640" i="1" a="1"/>
  <c r="O640" i="1" s="1"/>
  <c r="N640" i="1"/>
  <c r="M640" i="1"/>
  <c r="O639" i="1" a="1"/>
  <c r="O639" i="1" s="1"/>
  <c r="N639" i="1"/>
  <c r="M639" i="1"/>
  <c r="O638" i="1" a="1"/>
  <c r="O638" i="1" s="1"/>
  <c r="N638" i="1"/>
  <c r="M638" i="1"/>
  <c r="O637" i="1" a="1"/>
  <c r="O637" i="1" s="1"/>
  <c r="N637" i="1"/>
  <c r="M637" i="1"/>
  <c r="O636" i="1" a="1"/>
  <c r="O636" i="1" s="1"/>
  <c r="N636" i="1"/>
  <c r="M636" i="1"/>
  <c r="O635" i="1" a="1"/>
  <c r="O635" i="1" s="1"/>
  <c r="N635" i="1"/>
  <c r="M635" i="1"/>
  <c r="O634" i="1" a="1"/>
  <c r="O634" i="1" s="1"/>
  <c r="N634" i="1"/>
  <c r="M634" i="1"/>
  <c r="O633" i="1" a="1"/>
  <c r="O633" i="1" s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 a="1"/>
  <c r="O629" i="1" s="1"/>
  <c r="N629" i="1"/>
  <c r="M629" i="1"/>
  <c r="O628" i="1" a="1"/>
  <c r="O628" i="1" s="1"/>
  <c r="N628" i="1"/>
  <c r="M628" i="1"/>
  <c r="O627" i="1" a="1"/>
  <c r="O627" i="1" s="1"/>
  <c r="N627" i="1"/>
  <c r="M627" i="1"/>
  <c r="O626" i="1" a="1"/>
  <c r="O626" i="1" s="1"/>
  <c r="N626" i="1"/>
  <c r="M626" i="1"/>
  <c r="O625" i="1" a="1"/>
  <c r="O625" i="1" s="1"/>
  <c r="N625" i="1"/>
  <c r="M625" i="1"/>
  <c r="O624" i="1" a="1"/>
  <c r="O624" i="1" s="1"/>
  <c r="N624" i="1"/>
  <c r="M624" i="1"/>
  <c r="O623" i="1" a="1"/>
  <c r="O623" i="1" s="1"/>
  <c r="N623" i="1"/>
  <c r="M623" i="1"/>
  <c r="O622" i="1" a="1"/>
  <c r="O622" i="1" s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 a="1"/>
  <c r="O618" i="1" s="1"/>
  <c r="N618" i="1"/>
  <c r="M618" i="1"/>
  <c r="O617" i="1" a="1"/>
  <c r="O617" i="1" s="1"/>
  <c r="N617" i="1"/>
  <c r="M617" i="1"/>
  <c r="O616" i="1" a="1"/>
  <c r="O616" i="1" s="1"/>
  <c r="N616" i="1"/>
  <c r="M616" i="1"/>
  <c r="O615" i="1" a="1"/>
  <c r="O615" i="1" s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 a="1"/>
  <c r="O608" i="1" s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 a="1"/>
  <c r="O601" i="1" s="1"/>
  <c r="N601" i="1"/>
  <c r="M601" i="1"/>
  <c r="O600" i="1" a="1"/>
  <c r="O600" i="1" s="1"/>
  <c r="N600" i="1"/>
  <c r="M600" i="1"/>
  <c r="O599" i="1" a="1"/>
  <c r="O599" i="1" s="1"/>
  <c r="N599" i="1"/>
  <c r="M599" i="1"/>
  <c r="O598" i="1" a="1"/>
  <c r="O598" i="1" s="1"/>
  <c r="N598" i="1"/>
  <c r="M598" i="1"/>
  <c r="O597" i="1" a="1"/>
  <c r="O597" i="1" s="1"/>
  <c r="N597" i="1"/>
  <c r="M597" i="1"/>
  <c r="O596" i="1" a="1"/>
  <c r="O596" i="1" s="1"/>
  <c r="N596" i="1"/>
  <c r="M596" i="1"/>
  <c r="O595" i="1" a="1"/>
  <c r="O595" i="1" s="1"/>
  <c r="N595" i="1"/>
  <c r="M595" i="1"/>
  <c r="O594" i="1" a="1"/>
  <c r="O594" i="1" s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 a="1"/>
  <c r="O587" i="1" s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 a="1"/>
  <c r="O581" i="1" s="1"/>
  <c r="N581" i="1"/>
  <c r="M581" i="1"/>
  <c r="O580" i="1" a="1"/>
  <c r="O580" i="1" s="1"/>
  <c r="N580" i="1"/>
  <c r="M580" i="1"/>
  <c r="O579" i="1" a="1"/>
  <c r="O579" i="1" s="1"/>
  <c r="N579" i="1"/>
  <c r="M579" i="1"/>
  <c r="O578" i="1" a="1"/>
  <c r="O578" i="1" s="1"/>
  <c r="N578" i="1"/>
  <c r="M578" i="1"/>
  <c r="O577" i="1" a="1"/>
  <c r="O577" i="1" s="1"/>
  <c r="N577" i="1"/>
  <c r="M577" i="1"/>
  <c r="O576" i="1" a="1"/>
  <c r="O576" i="1" s="1"/>
  <c r="N576" i="1"/>
  <c r="M576" i="1"/>
  <c r="O575" i="1" a="1"/>
  <c r="O575" i="1" s="1"/>
  <c r="N575" i="1"/>
  <c r="M575" i="1"/>
  <c r="O574" i="1" a="1"/>
  <c r="O574" i="1" s="1"/>
  <c r="N574" i="1"/>
  <c r="M574" i="1"/>
  <c r="O573" i="1" a="1"/>
  <c r="O573" i="1" s="1"/>
  <c r="N573" i="1"/>
  <c r="M573" i="1"/>
  <c r="O572" i="1" a="1"/>
  <c r="O572" i="1" s="1"/>
  <c r="N572" i="1"/>
  <c r="M572" i="1"/>
  <c r="O571" i="1" a="1"/>
  <c r="O571" i="1" s="1"/>
  <c r="N571" i="1"/>
  <c r="M571" i="1"/>
  <c r="O570" i="1" a="1"/>
  <c r="O570" i="1" s="1"/>
  <c r="N570" i="1"/>
  <c r="M570" i="1"/>
  <c r="O569" i="1" a="1"/>
  <c r="O569" i="1" s="1"/>
  <c r="N569" i="1"/>
  <c r="M569" i="1"/>
  <c r="O568" i="1" a="1"/>
  <c r="O568" i="1" s="1"/>
  <c r="N568" i="1"/>
  <c r="M568" i="1"/>
  <c r="O567" i="1" a="1"/>
  <c r="O567" i="1" s="1"/>
  <c r="N567" i="1"/>
  <c r="M567" i="1"/>
  <c r="O566" i="1" a="1"/>
  <c r="O566" i="1" s="1"/>
  <c r="N566" i="1"/>
  <c r="M566" i="1"/>
  <c r="O565" i="1" a="1"/>
  <c r="O565" i="1" s="1"/>
  <c r="N565" i="1"/>
  <c r="M565" i="1"/>
  <c r="O564" i="1" a="1"/>
  <c r="O564" i="1" s="1"/>
  <c r="N564" i="1"/>
  <c r="M564" i="1"/>
  <c r="O563" i="1" a="1"/>
  <c r="O563" i="1" s="1"/>
  <c r="N563" i="1"/>
  <c r="M563" i="1"/>
  <c r="O562" i="1" a="1"/>
  <c r="O562" i="1" s="1"/>
  <c r="N562" i="1"/>
  <c r="M562" i="1"/>
  <c r="O561" i="1" a="1"/>
  <c r="O561" i="1" s="1"/>
  <c r="N561" i="1"/>
  <c r="M561" i="1"/>
  <c r="O560" i="1" a="1"/>
  <c r="O560" i="1" s="1"/>
  <c r="N560" i="1"/>
  <c r="M560" i="1"/>
  <c r="O559" i="1" a="1"/>
  <c r="O559" i="1" s="1"/>
  <c r="N559" i="1"/>
  <c r="M559" i="1"/>
  <c r="O558" i="1" a="1"/>
  <c r="O558" i="1" s="1"/>
  <c r="N558" i="1"/>
  <c r="M558" i="1"/>
  <c r="O557" i="1" a="1"/>
  <c r="O557" i="1" s="1"/>
  <c r="N557" i="1"/>
  <c r="M557" i="1"/>
  <c r="O556" i="1" a="1"/>
  <c r="O556" i="1" s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 a="1"/>
  <c r="O552" i="1" s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 a="1"/>
  <c r="O545" i="1" s="1"/>
  <c r="N545" i="1"/>
  <c r="M545" i="1"/>
  <c r="O544" i="1" a="1"/>
  <c r="O544" i="1" s="1"/>
  <c r="N544" i="1"/>
  <c r="M544" i="1"/>
  <c r="O543" i="1" a="1"/>
  <c r="O543" i="1" s="1"/>
  <c r="N543" i="1"/>
  <c r="M543" i="1"/>
  <c r="O542" i="1" a="1"/>
  <c r="O542" i="1" s="1"/>
  <c r="N542" i="1"/>
  <c r="M542" i="1"/>
  <c r="O541" i="1" a="1"/>
  <c r="O541" i="1" s="1"/>
  <c r="N541" i="1"/>
  <c r="M541" i="1"/>
  <c r="O540" i="1" a="1"/>
  <c r="O540" i="1" s="1"/>
  <c r="N540" i="1"/>
  <c r="M540" i="1"/>
  <c r="O539" i="1" a="1"/>
  <c r="O539" i="1" s="1"/>
  <c r="N539" i="1"/>
  <c r="M539" i="1"/>
  <c r="O538" i="1" a="1"/>
  <c r="O538" i="1" s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 a="1"/>
  <c r="O533" i="1" s="1"/>
  <c r="N533" i="1"/>
  <c r="M533" i="1"/>
  <c r="O532" i="1" a="1"/>
  <c r="O532" i="1" s="1"/>
  <c r="N532" i="1"/>
  <c r="M532" i="1"/>
  <c r="O531" i="1" a="1"/>
  <c r="O531" i="1" s="1"/>
  <c r="N531" i="1"/>
  <c r="M531" i="1"/>
  <c r="O530" i="1" a="1"/>
  <c r="O530" i="1" s="1"/>
  <c r="N530" i="1"/>
  <c r="M530" i="1"/>
  <c r="O529" i="1" a="1"/>
  <c r="O529" i="1" s="1"/>
  <c r="N529" i="1"/>
  <c r="M529" i="1"/>
  <c r="O528" i="1" a="1"/>
  <c r="O528" i="1" s="1"/>
  <c r="N528" i="1"/>
  <c r="M528" i="1"/>
  <c r="O527" i="1" a="1"/>
  <c r="O527" i="1" s="1"/>
  <c r="N527" i="1"/>
  <c r="M527" i="1"/>
  <c r="O526" i="1" a="1"/>
  <c r="O526" i="1" s="1"/>
  <c r="N526" i="1"/>
  <c r="M526" i="1"/>
  <c r="O525" i="1" a="1"/>
  <c r="O525" i="1" s="1"/>
  <c r="N525" i="1"/>
  <c r="M525" i="1"/>
  <c r="O524" i="1" a="1"/>
  <c r="O524" i="1" s="1"/>
  <c r="N524" i="1"/>
  <c r="M524" i="1"/>
  <c r="O523" i="1" a="1"/>
  <c r="O523" i="1" s="1"/>
  <c r="N523" i="1"/>
  <c r="M523" i="1"/>
  <c r="O522" i="1" a="1"/>
  <c r="O522" i="1" s="1"/>
  <c r="N522" i="1"/>
  <c r="M522" i="1"/>
  <c r="O521" i="1" a="1"/>
  <c r="O521" i="1" s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 a="1"/>
  <c r="O517" i="1" s="1"/>
  <c r="N517" i="1"/>
  <c r="M517" i="1"/>
  <c r="O516" i="1" a="1"/>
  <c r="O516" i="1" s="1"/>
  <c r="N516" i="1"/>
  <c r="M516" i="1"/>
  <c r="O515" i="1" a="1"/>
  <c r="O515" i="1" s="1"/>
  <c r="N515" i="1"/>
  <c r="M515" i="1"/>
  <c r="O514" i="1" a="1"/>
  <c r="O514" i="1" s="1"/>
  <c r="N514" i="1"/>
  <c r="M514" i="1"/>
  <c r="O513" i="1" a="1"/>
  <c r="O513" i="1" s="1"/>
  <c r="N513" i="1"/>
  <c r="M513" i="1"/>
  <c r="O512" i="1" a="1"/>
  <c r="O512" i="1" s="1"/>
  <c r="N512" i="1"/>
  <c r="M512" i="1"/>
  <c r="O511" i="1" a="1"/>
  <c r="O511" i="1" s="1"/>
  <c r="N511" i="1"/>
  <c r="M511" i="1"/>
  <c r="O510" i="1" a="1"/>
  <c r="O510" i="1" s="1"/>
  <c r="N510" i="1"/>
  <c r="M510" i="1"/>
  <c r="O509" i="1" a="1"/>
  <c r="O509" i="1" s="1"/>
  <c r="N509" i="1"/>
  <c r="M509" i="1"/>
  <c r="O508" i="1" a="1"/>
  <c r="O508" i="1" s="1"/>
  <c r="N508" i="1"/>
  <c r="M508" i="1"/>
  <c r="O507" i="1" a="1"/>
  <c r="O507" i="1" s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 a="1"/>
  <c r="O503" i="1" s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 a="1"/>
  <c r="O499" i="1" s="1"/>
  <c r="N499" i="1"/>
  <c r="M499" i="1"/>
  <c r="O498" i="1" a="1"/>
  <c r="O498" i="1" s="1"/>
  <c r="N498" i="1"/>
  <c r="M498" i="1"/>
  <c r="O497" i="1" a="1"/>
  <c r="O497" i="1" s="1"/>
  <c r="N497" i="1"/>
  <c r="M497" i="1"/>
  <c r="O496" i="1" a="1"/>
  <c r="O496" i="1" s="1"/>
  <c r="N496" i="1"/>
  <c r="M496" i="1"/>
  <c r="O495" i="1" a="1"/>
  <c r="O495" i="1" s="1"/>
  <c r="N495" i="1"/>
  <c r="M495" i="1"/>
  <c r="O494" i="1" a="1"/>
  <c r="O494" i="1" s="1"/>
  <c r="N494" i="1"/>
  <c r="M494" i="1"/>
  <c r="O493" i="1" a="1"/>
  <c r="O493" i="1" s="1"/>
  <c r="N493" i="1"/>
  <c r="M493" i="1"/>
  <c r="O492" i="1" a="1"/>
  <c r="O492" i="1" s="1"/>
  <c r="N492" i="1"/>
  <c r="M492" i="1"/>
  <c r="O491" i="1" a="1"/>
  <c r="O491" i="1" s="1"/>
  <c r="N491" i="1"/>
  <c r="M491" i="1"/>
  <c r="O490" i="1" a="1"/>
  <c r="O490" i="1" s="1"/>
  <c r="N490" i="1"/>
  <c r="M490" i="1"/>
  <c r="O489" i="1" a="1"/>
  <c r="O489" i="1" s="1"/>
  <c r="N489" i="1"/>
  <c r="M489" i="1"/>
  <c r="O488" i="1" a="1"/>
  <c r="O488" i="1" s="1"/>
  <c r="N488" i="1"/>
  <c r="M488" i="1"/>
  <c r="O487" i="1" a="1"/>
  <c r="O487" i="1" s="1"/>
  <c r="N487" i="1"/>
  <c r="M487" i="1"/>
  <c r="O486" i="1" a="1"/>
  <c r="O486" i="1" s="1"/>
  <c r="N486" i="1"/>
  <c r="M486" i="1"/>
  <c r="O485" i="1" a="1"/>
  <c r="O485" i="1" s="1"/>
  <c r="N485" i="1"/>
  <c r="M485" i="1"/>
  <c r="O484" i="1" a="1"/>
  <c r="O484" i="1" s="1"/>
  <c r="N484" i="1"/>
  <c r="M484" i="1"/>
  <c r="O483" i="1" a="1"/>
  <c r="O483" i="1" s="1"/>
  <c r="N483" i="1"/>
  <c r="M483" i="1"/>
  <c r="O482" i="1" a="1"/>
  <c r="O482" i="1" s="1"/>
  <c r="N482" i="1"/>
  <c r="M482" i="1"/>
  <c r="O481" i="1" a="1"/>
  <c r="O481" i="1" s="1"/>
  <c r="N481" i="1"/>
  <c r="M481" i="1"/>
  <c r="O480" i="1" a="1"/>
  <c r="O480" i="1" s="1"/>
  <c r="N480" i="1"/>
  <c r="M480" i="1"/>
  <c r="O479" i="1" a="1"/>
  <c r="O479" i="1" s="1"/>
  <c r="N479" i="1"/>
  <c r="M479" i="1"/>
  <c r="O478" i="1" a="1"/>
  <c r="O478" i="1" s="1"/>
  <c r="N478" i="1"/>
  <c r="M478" i="1"/>
  <c r="O477" i="1" a="1"/>
  <c r="O477" i="1" s="1"/>
  <c r="N477" i="1"/>
  <c r="M477" i="1"/>
  <c r="O476" i="1" a="1"/>
  <c r="O476" i="1" s="1"/>
  <c r="N476" i="1"/>
  <c r="M476" i="1"/>
  <c r="O475" i="1" a="1"/>
  <c r="O475" i="1" s="1"/>
  <c r="N475" i="1"/>
  <c r="M475" i="1"/>
  <c r="O474" i="1" a="1"/>
  <c r="O474" i="1" s="1"/>
  <c r="N474" i="1"/>
  <c r="M474" i="1"/>
  <c r="O473" i="1" a="1"/>
  <c r="O473" i="1" s="1"/>
  <c r="N473" i="1"/>
  <c r="M473" i="1"/>
  <c r="O472" i="1" a="1"/>
  <c r="O472" i="1" s="1"/>
  <c r="N472" i="1"/>
  <c r="M472" i="1"/>
  <c r="O471" i="1" a="1"/>
  <c r="O471" i="1" s="1"/>
  <c r="N471" i="1"/>
  <c r="M471" i="1"/>
  <c r="O470" i="1" a="1"/>
  <c r="O470" i="1" s="1"/>
  <c r="N470" i="1"/>
  <c r="M470" i="1"/>
  <c r="O469" i="1" a="1"/>
  <c r="O469" i="1" s="1"/>
  <c r="N469" i="1"/>
  <c r="M469" i="1"/>
  <c r="O468" i="1" a="1"/>
  <c r="O468" i="1" s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 a="1"/>
  <c r="O461" i="1" s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 a="1"/>
  <c r="O457" i="1" s="1"/>
  <c r="N457" i="1"/>
  <c r="M457" i="1"/>
  <c r="O456" i="1" a="1"/>
  <c r="O456" i="1" s="1"/>
  <c r="N456" i="1"/>
  <c r="M456" i="1"/>
  <c r="O455" i="1" a="1"/>
  <c r="O455" i="1" s="1"/>
  <c r="N455" i="1"/>
  <c r="M455" i="1"/>
  <c r="O454" i="1" a="1"/>
  <c r="O454" i="1" s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 a="1"/>
  <c r="O449" i="1" s="1"/>
  <c r="N449" i="1"/>
  <c r="M449" i="1"/>
  <c r="O448" i="1" a="1"/>
  <c r="O448" i="1" s="1"/>
  <c r="N448" i="1"/>
  <c r="M448" i="1"/>
  <c r="O447" i="1" a="1"/>
  <c r="O447" i="1" s="1"/>
  <c r="N447" i="1"/>
  <c r="M447" i="1"/>
  <c r="O446" i="1" a="1"/>
  <c r="O446" i="1" s="1"/>
  <c r="N446" i="1"/>
  <c r="M446" i="1"/>
  <c r="O445" i="1" a="1"/>
  <c r="O445" i="1" s="1"/>
  <c r="N445" i="1"/>
  <c r="M445" i="1"/>
  <c r="O444" i="1" a="1"/>
  <c r="O444" i="1" s="1"/>
  <c r="N444" i="1"/>
  <c r="M444" i="1"/>
  <c r="O443" i="1" a="1"/>
  <c r="O443" i="1" s="1"/>
  <c r="N443" i="1"/>
  <c r="M443" i="1"/>
  <c r="O442" i="1" a="1"/>
  <c r="O442" i="1" s="1"/>
  <c r="N442" i="1"/>
  <c r="M442" i="1"/>
  <c r="O441" i="1" a="1"/>
  <c r="O441" i="1" s="1"/>
  <c r="N441" i="1"/>
  <c r="M441" i="1"/>
  <c r="O440" i="1" a="1"/>
  <c r="O440" i="1" s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 a="1"/>
  <c r="O433" i="1" s="1"/>
  <c r="N433" i="1"/>
  <c r="M433" i="1"/>
  <c r="O432" i="1" a="1"/>
  <c r="O432" i="1" s="1"/>
  <c r="N432" i="1"/>
  <c r="M432" i="1"/>
  <c r="O431" i="1" a="1"/>
  <c r="O431" i="1" s="1"/>
  <c r="N431" i="1"/>
  <c r="M431" i="1"/>
  <c r="O430" i="1" a="1"/>
  <c r="O430" i="1" s="1"/>
  <c r="N430" i="1"/>
  <c r="M430" i="1"/>
  <c r="O429" i="1" a="1"/>
  <c r="O429" i="1" s="1"/>
  <c r="N429" i="1"/>
  <c r="M429" i="1"/>
  <c r="O428" i="1" a="1"/>
  <c r="O428" i="1" s="1"/>
  <c r="N428" i="1"/>
  <c r="M428" i="1"/>
  <c r="O427" i="1" a="1"/>
  <c r="O427" i="1" s="1"/>
  <c r="N427" i="1"/>
  <c r="M427" i="1"/>
  <c r="O426" i="1" a="1"/>
  <c r="O426" i="1" s="1"/>
  <c r="N426" i="1"/>
  <c r="M426" i="1"/>
  <c r="O425" i="1" a="1"/>
  <c r="O425" i="1" s="1"/>
  <c r="N425" i="1"/>
  <c r="M425" i="1"/>
  <c r="O424" i="1" a="1"/>
  <c r="O424" i="1" s="1"/>
  <c r="N424" i="1"/>
  <c r="M424" i="1"/>
  <c r="O423" i="1" a="1"/>
  <c r="O423" i="1" s="1"/>
  <c r="N423" i="1"/>
  <c r="M423" i="1"/>
  <c r="O422" i="1" a="1"/>
  <c r="O422" i="1" s="1"/>
  <c r="N422" i="1"/>
  <c r="M422" i="1"/>
  <c r="O421" i="1" a="1"/>
  <c r="O421" i="1" s="1"/>
  <c r="N421" i="1"/>
  <c r="M421" i="1"/>
  <c r="O420" i="1" a="1"/>
  <c r="O420" i="1" s="1"/>
  <c r="N420" i="1"/>
  <c r="M420" i="1"/>
  <c r="O419" i="1" a="1"/>
  <c r="O419" i="1" s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 a="1"/>
  <c r="O414" i="1" s="1"/>
  <c r="N414" i="1"/>
  <c r="M414" i="1"/>
  <c r="O413" i="1" a="1"/>
  <c r="O413" i="1" s="1"/>
  <c r="N413" i="1"/>
  <c r="M413" i="1"/>
  <c r="O412" i="1" a="1"/>
  <c r="O412" i="1" s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 a="1"/>
  <c r="O405" i="1" s="1"/>
  <c r="N405" i="1"/>
  <c r="M405" i="1"/>
  <c r="O404" i="1" a="1"/>
  <c r="O404" i="1" s="1"/>
  <c r="N404" i="1"/>
  <c r="M404" i="1"/>
  <c r="O403" i="1" a="1"/>
  <c r="O403" i="1" s="1"/>
  <c r="N403" i="1"/>
  <c r="M403" i="1"/>
  <c r="O402" i="1" a="1"/>
  <c r="O402" i="1" s="1"/>
  <c r="N402" i="1"/>
  <c r="M402" i="1"/>
  <c r="O401" i="1" a="1"/>
  <c r="O401" i="1" s="1"/>
  <c r="N401" i="1"/>
  <c r="M401" i="1"/>
  <c r="O400" i="1" a="1"/>
  <c r="O400" i="1" s="1"/>
  <c r="N400" i="1"/>
  <c r="M400" i="1"/>
  <c r="O399" i="1" a="1"/>
  <c r="O399" i="1" s="1"/>
  <c r="N399" i="1"/>
  <c r="M399" i="1"/>
  <c r="O398" i="1" a="1"/>
  <c r="O398" i="1" s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 a="1"/>
  <c r="O391" i="1" s="1"/>
  <c r="N391" i="1"/>
  <c r="M391" i="1"/>
  <c r="O390" i="1" a="1"/>
  <c r="O390" i="1" s="1"/>
  <c r="N390" i="1"/>
  <c r="M390" i="1"/>
  <c r="O389" i="1" a="1"/>
  <c r="O389" i="1" s="1"/>
  <c r="N389" i="1"/>
  <c r="M389" i="1"/>
  <c r="O388" i="1" a="1"/>
  <c r="O388" i="1" s="1"/>
  <c r="N388" i="1"/>
  <c r="M388" i="1"/>
  <c r="O387" i="1" a="1"/>
  <c r="O387" i="1" s="1"/>
  <c r="N387" i="1"/>
  <c r="M387" i="1"/>
  <c r="O386" i="1" a="1"/>
  <c r="O386" i="1" s="1"/>
  <c r="N386" i="1"/>
  <c r="M386" i="1"/>
  <c r="O385" i="1" a="1"/>
  <c r="O385" i="1" s="1"/>
  <c r="N385" i="1"/>
  <c r="M385" i="1"/>
  <c r="O384" i="1" a="1"/>
  <c r="O384" i="1" s="1"/>
  <c r="N384" i="1"/>
  <c r="M384" i="1"/>
  <c r="O383" i="1" a="1"/>
  <c r="O383" i="1" s="1"/>
  <c r="N383" i="1"/>
  <c r="M383" i="1"/>
  <c r="O382" i="1" a="1"/>
  <c r="O382" i="1" s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 a="1"/>
  <c r="O377" i="1" s="1"/>
  <c r="N377" i="1"/>
  <c r="M377" i="1"/>
  <c r="O376" i="1" a="1"/>
  <c r="O376" i="1" s="1"/>
  <c r="N376" i="1"/>
  <c r="M376" i="1"/>
  <c r="O375" i="1" a="1"/>
  <c r="O375" i="1" s="1"/>
  <c r="N375" i="1"/>
  <c r="M375" i="1"/>
  <c r="O374" i="1" a="1"/>
  <c r="O374" i="1" s="1"/>
  <c r="N374" i="1"/>
  <c r="M374" i="1"/>
  <c r="O373" i="1" a="1"/>
  <c r="O373" i="1" s="1"/>
  <c r="N373" i="1"/>
  <c r="M373" i="1"/>
  <c r="O372" i="1" a="1"/>
  <c r="O372" i="1" s="1"/>
  <c r="N372" i="1"/>
  <c r="M372" i="1"/>
  <c r="O371" i="1" a="1"/>
  <c r="O371" i="1" s="1"/>
  <c r="N371" i="1"/>
  <c r="M371" i="1"/>
  <c r="O370" i="1" a="1"/>
  <c r="O370" i="1" s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 a="1"/>
  <c r="O366" i="1" s="1"/>
  <c r="N366" i="1"/>
  <c r="M366" i="1"/>
  <c r="O365" i="1" a="1"/>
  <c r="O365" i="1" s="1"/>
  <c r="N365" i="1"/>
  <c r="M365" i="1"/>
  <c r="O364" i="1" a="1"/>
  <c r="O364" i="1" s="1"/>
  <c r="N364" i="1"/>
  <c r="M364" i="1"/>
  <c r="O363" i="1" a="1"/>
  <c r="O363" i="1" s="1"/>
  <c r="N363" i="1"/>
  <c r="M363" i="1"/>
  <c r="O362" i="1" a="1"/>
  <c r="O362" i="1" s="1"/>
  <c r="N362" i="1"/>
  <c r="M362" i="1"/>
  <c r="O361" i="1" a="1"/>
  <c r="O361" i="1" s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 a="1"/>
  <c r="O356" i="1" s="1"/>
  <c r="N356" i="1"/>
  <c r="M356" i="1"/>
  <c r="O355" i="1" a="1"/>
  <c r="O355" i="1" s="1"/>
  <c r="N355" i="1"/>
  <c r="M355" i="1"/>
  <c r="O354" i="1" a="1"/>
  <c r="O354" i="1" s="1"/>
  <c r="N354" i="1"/>
  <c r="M354" i="1"/>
  <c r="O353" i="1" a="1"/>
  <c r="O353" i="1" s="1"/>
  <c r="N353" i="1"/>
  <c r="M353" i="1"/>
  <c r="O352" i="1" a="1"/>
  <c r="O352" i="1" s="1"/>
  <c r="N352" i="1"/>
  <c r="M352" i="1"/>
  <c r="O351" i="1" a="1"/>
  <c r="O351" i="1" s="1"/>
  <c r="N351" i="1"/>
  <c r="M351" i="1"/>
  <c r="O350" i="1" a="1"/>
  <c r="O350" i="1" s="1"/>
  <c r="N350" i="1"/>
  <c r="M350" i="1"/>
  <c r="O349" i="1" a="1"/>
  <c r="O349" i="1" s="1"/>
  <c r="N349" i="1"/>
  <c r="M349" i="1"/>
  <c r="O348" i="1" a="1"/>
  <c r="O348" i="1" s="1"/>
  <c r="N348" i="1"/>
  <c r="M348" i="1"/>
  <c r="O347" i="1" a="1"/>
  <c r="O347" i="1" s="1"/>
  <c r="N347" i="1"/>
  <c r="M347" i="1"/>
  <c r="O346" i="1" a="1"/>
  <c r="O346" i="1" s="1"/>
  <c r="N346" i="1"/>
  <c r="M346" i="1"/>
  <c r="O345" i="1" a="1"/>
  <c r="O345" i="1" s="1"/>
  <c r="N345" i="1"/>
  <c r="M345" i="1"/>
  <c r="O344" i="1" a="1"/>
  <c r="O344" i="1" s="1"/>
  <c r="N344" i="1"/>
  <c r="M344" i="1"/>
  <c r="O343" i="1" a="1"/>
  <c r="O343" i="1" s="1"/>
  <c r="N343" i="1"/>
  <c r="M343" i="1"/>
  <c r="O342" i="1" a="1"/>
  <c r="O342" i="1" s="1"/>
  <c r="N342" i="1"/>
  <c r="M342" i="1"/>
  <c r="O341" i="1" a="1"/>
  <c r="O341" i="1" s="1"/>
  <c r="N341" i="1"/>
  <c r="M341" i="1"/>
  <c r="O340" i="1" a="1"/>
  <c r="O340" i="1" s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 a="1"/>
  <c r="O336" i="1" s="1"/>
  <c r="N336" i="1"/>
  <c r="M336" i="1"/>
  <c r="O335" i="1" a="1"/>
  <c r="O335" i="1" s="1"/>
  <c r="N335" i="1"/>
  <c r="M335" i="1"/>
  <c r="O334" i="1" a="1"/>
  <c r="O334" i="1" s="1"/>
  <c r="N334" i="1"/>
  <c r="M334" i="1"/>
  <c r="O333" i="1" a="1"/>
  <c r="O333" i="1" s="1"/>
  <c r="N333" i="1"/>
  <c r="M333" i="1"/>
  <c r="O332" i="1" a="1"/>
  <c r="O332" i="1" s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 a="1"/>
  <c r="O328" i="1" s="1"/>
  <c r="N328" i="1"/>
  <c r="M328" i="1"/>
  <c r="O327" i="1" a="1"/>
  <c r="O327" i="1" s="1"/>
  <c r="N327" i="1"/>
  <c r="M327" i="1"/>
  <c r="O326" i="1" a="1"/>
  <c r="O326" i="1" s="1"/>
  <c r="N326" i="1"/>
  <c r="M326" i="1"/>
  <c r="O325" i="1" a="1"/>
  <c r="O325" i="1" s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 a="1"/>
  <c r="O320" i="1" s="1"/>
  <c r="N320" i="1"/>
  <c r="M320" i="1"/>
  <c r="O319" i="1" a="1"/>
  <c r="O319" i="1" s="1"/>
  <c r="N319" i="1"/>
  <c r="M319" i="1"/>
  <c r="O318" i="1" a="1"/>
  <c r="O318" i="1" s="1"/>
  <c r="N318" i="1"/>
  <c r="M318" i="1"/>
  <c r="O317" i="1" a="1"/>
  <c r="O317" i="1" s="1"/>
  <c r="N317" i="1"/>
  <c r="M317" i="1"/>
  <c r="O316" i="1" a="1"/>
  <c r="O316" i="1" s="1"/>
  <c r="N316" i="1"/>
  <c r="M316" i="1"/>
  <c r="O315" i="1" a="1"/>
  <c r="O315" i="1" s="1"/>
  <c r="N315" i="1"/>
  <c r="M315" i="1"/>
  <c r="O314" i="1" a="1"/>
  <c r="O314" i="1" s="1"/>
  <c r="N314" i="1"/>
  <c r="M314" i="1"/>
  <c r="O313" i="1" a="1"/>
  <c r="O313" i="1" s="1"/>
  <c r="N313" i="1"/>
  <c r="M313" i="1"/>
  <c r="O312" i="1" a="1"/>
  <c r="O312" i="1" s="1"/>
  <c r="N312" i="1"/>
  <c r="M312" i="1"/>
  <c r="O311" i="1" a="1"/>
  <c r="O311" i="1" s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 a="1"/>
  <c r="O304" i="1" s="1"/>
  <c r="N304" i="1"/>
  <c r="M304" i="1"/>
  <c r="O303" i="1" a="1"/>
  <c r="O303" i="1" s="1"/>
  <c r="N303" i="1"/>
  <c r="M303" i="1"/>
  <c r="O302" i="1" a="1"/>
  <c r="O302" i="1" s="1"/>
  <c r="N302" i="1"/>
  <c r="M302" i="1"/>
  <c r="O301" i="1" a="1"/>
  <c r="O301" i="1" s="1"/>
  <c r="N301" i="1"/>
  <c r="M301" i="1"/>
  <c r="O300" i="1" a="1"/>
  <c r="O300" i="1" s="1"/>
  <c r="N300" i="1"/>
  <c r="M300" i="1"/>
  <c r="O299" i="1" a="1"/>
  <c r="O299" i="1" s="1"/>
  <c r="N299" i="1"/>
  <c r="M299" i="1"/>
  <c r="O298" i="1" a="1"/>
  <c r="O298" i="1" s="1"/>
  <c r="N298" i="1"/>
  <c r="M298" i="1"/>
  <c r="O297" i="1" a="1"/>
  <c r="O297" i="1" s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 a="1"/>
  <c r="O293" i="1" s="1"/>
  <c r="N293" i="1"/>
  <c r="M293" i="1"/>
  <c r="O292" i="1" a="1"/>
  <c r="O292" i="1" s="1"/>
  <c r="N292" i="1"/>
  <c r="M292" i="1"/>
  <c r="O291" i="1" a="1"/>
  <c r="O291" i="1" s="1"/>
  <c r="N291" i="1"/>
  <c r="M291" i="1"/>
  <c r="O290" i="1" a="1"/>
  <c r="O290" i="1" s="1"/>
  <c r="N290" i="1"/>
  <c r="M290" i="1"/>
  <c r="O289" i="1" a="1"/>
  <c r="O289" i="1" s="1"/>
  <c r="N289" i="1"/>
  <c r="M289" i="1"/>
  <c r="O288" i="1" a="1"/>
  <c r="O288" i="1" s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 a="1"/>
  <c r="O283" i="1" s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 a="1"/>
  <c r="O278" i="1" s="1"/>
  <c r="N278" i="1"/>
  <c r="M278" i="1"/>
  <c r="O277" i="1" a="1"/>
  <c r="O277" i="1" s="1"/>
  <c r="N277" i="1"/>
  <c r="M277" i="1"/>
  <c r="O276" i="1" a="1"/>
  <c r="O276" i="1" s="1"/>
  <c r="N276" i="1"/>
  <c r="M276" i="1"/>
  <c r="O275" i="1" a="1"/>
  <c r="O275" i="1" s="1"/>
  <c r="N275" i="1"/>
  <c r="M275" i="1"/>
  <c r="O274" i="1"/>
  <c r="O274" i="1" a="1"/>
  <c r="N274" i="1"/>
  <c r="M274" i="1"/>
  <c r="O273" i="1"/>
  <c r="O273" i="1" a="1"/>
  <c r="N273" i="1"/>
  <c r="M273" i="1"/>
  <c r="O272" i="1"/>
  <c r="O272" i="1" a="1"/>
  <c r="N272" i="1"/>
  <c r="M272" i="1"/>
  <c r="O271" i="1"/>
  <c r="O271" i="1" a="1"/>
  <c r="N271" i="1"/>
  <c r="M271" i="1"/>
  <c r="O270" i="1"/>
  <c r="O270" i="1" a="1"/>
  <c r="N270" i="1"/>
  <c r="M270" i="1"/>
  <c r="O269" i="1"/>
  <c r="O269" i="1" a="1"/>
  <c r="N269" i="1"/>
  <c r="M269" i="1"/>
  <c r="O268" i="1"/>
  <c r="O268" i="1" a="1"/>
  <c r="N268" i="1"/>
  <c r="M268" i="1"/>
  <c r="O267" i="1"/>
  <c r="O267" i="1" a="1"/>
  <c r="N267" i="1"/>
  <c r="M267" i="1"/>
  <c r="O266" i="1"/>
  <c r="O266" i="1" a="1"/>
  <c r="N266" i="1"/>
  <c r="M266" i="1"/>
  <c r="O265" i="1"/>
  <c r="O265" i="1" a="1"/>
  <c r="N265" i="1"/>
  <c r="M265" i="1"/>
  <c r="O264" i="1"/>
  <c r="O264" i="1" a="1"/>
  <c r="N264" i="1"/>
  <c r="M264" i="1"/>
  <c r="O263" i="1"/>
  <c r="O263" i="1" a="1"/>
  <c r="N263" i="1"/>
  <c r="M263" i="1"/>
  <c r="O262" i="1"/>
  <c r="O262" i="1" a="1"/>
  <c r="N262" i="1"/>
  <c r="M262" i="1"/>
  <c r="O261" i="1"/>
  <c r="O261" i="1" a="1"/>
  <c r="N261" i="1"/>
  <c r="M261" i="1"/>
  <c r="O260" i="1"/>
  <c r="O260" i="1" a="1"/>
  <c r="N260" i="1"/>
  <c r="M260" i="1"/>
  <c r="O259" i="1"/>
  <c r="O259" i="1" a="1"/>
  <c r="N259" i="1"/>
  <c r="M259" i="1"/>
  <c r="O258" i="1"/>
  <c r="O258" i="1" a="1"/>
  <c r="N258" i="1"/>
  <c r="M258" i="1"/>
  <c r="O257" i="1"/>
  <c r="O257" i="1" a="1"/>
  <c r="N257" i="1"/>
  <c r="M257" i="1"/>
  <c r="O256" i="1"/>
  <c r="O256" i="1" a="1"/>
  <c r="N256" i="1"/>
  <c r="M256" i="1"/>
  <c r="O255" i="1"/>
  <c r="O255" i="1" a="1"/>
  <c r="N255" i="1"/>
  <c r="M255" i="1"/>
  <c r="O254" i="1"/>
  <c r="O254" i="1" a="1"/>
  <c r="N254" i="1"/>
  <c r="M254" i="1"/>
  <c r="O253" i="1"/>
  <c r="O253" i="1" a="1"/>
  <c r="N253" i="1"/>
  <c r="M253" i="1"/>
  <c r="O252" i="1"/>
  <c r="O252" i="1" a="1"/>
  <c r="N252" i="1"/>
  <c r="M252" i="1"/>
  <c r="O251" i="1"/>
  <c r="O251" i="1" a="1"/>
  <c r="N251" i="1"/>
  <c r="M251" i="1"/>
  <c r="O250" i="1"/>
  <c r="O250" i="1" a="1"/>
  <c r="N250" i="1"/>
  <c r="M250" i="1"/>
  <c r="O249" i="1"/>
  <c r="O249" i="1" a="1"/>
  <c r="N249" i="1"/>
  <c r="M249" i="1"/>
  <c r="O248" i="1"/>
  <c r="O248" i="1" a="1"/>
  <c r="N248" i="1"/>
  <c r="M248" i="1"/>
  <c r="O247" i="1"/>
  <c r="O247" i="1" a="1"/>
  <c r="N247" i="1"/>
  <c r="M247" i="1"/>
  <c r="O246" i="1"/>
  <c r="O246" i="1" a="1"/>
  <c r="N246" i="1"/>
  <c r="M246" i="1"/>
  <c r="O245" i="1"/>
  <c r="O245" i="1" a="1"/>
  <c r="N245" i="1"/>
  <c r="M245" i="1"/>
  <c r="O244" i="1"/>
  <c r="O244" i="1" a="1"/>
  <c r="N244" i="1"/>
  <c r="M244" i="1"/>
  <c r="O243" i="1"/>
  <c r="O243" i="1" a="1"/>
  <c r="N243" i="1"/>
  <c r="M243" i="1"/>
  <c r="O242" i="1"/>
  <c r="O242" i="1" a="1"/>
  <c r="N242" i="1"/>
  <c r="M242" i="1"/>
  <c r="O241" i="1"/>
  <c r="O241" i="1" a="1"/>
  <c r="N241" i="1"/>
  <c r="M241" i="1"/>
  <c r="O240" i="1"/>
  <c r="O240" i="1" a="1"/>
  <c r="N240" i="1"/>
  <c r="M240" i="1"/>
  <c r="O239" i="1"/>
  <c r="O239" i="1" a="1"/>
  <c r="N239" i="1"/>
  <c r="M239" i="1"/>
  <c r="O238" i="1"/>
  <c r="O238" i="1" a="1"/>
  <c r="N238" i="1"/>
  <c r="M238" i="1"/>
  <c r="O237" i="1"/>
  <c r="O237" i="1" a="1"/>
  <c r="N237" i="1"/>
  <c r="M237" i="1"/>
  <c r="O236" i="1"/>
  <c r="O236" i="1" a="1"/>
  <c r="N236" i="1"/>
  <c r="M236" i="1"/>
  <c r="O235" i="1"/>
  <c r="O235" i="1" a="1"/>
  <c r="N235" i="1"/>
  <c r="M235" i="1"/>
  <c r="O234" i="1"/>
  <c r="O234" i="1" a="1"/>
  <c r="N234" i="1"/>
  <c r="M234" i="1"/>
  <c r="O233" i="1"/>
  <c r="O233" i="1" a="1"/>
  <c r="N233" i="1"/>
  <c r="M233" i="1"/>
  <c r="O232" i="1"/>
  <c r="O232" i="1" a="1"/>
  <c r="N232" i="1"/>
  <c r="M232" i="1"/>
  <c r="O231" i="1"/>
  <c r="O231" i="1" a="1"/>
  <c r="N231" i="1"/>
  <c r="M231" i="1"/>
  <c r="O230" i="1"/>
  <c r="O230" i="1" a="1"/>
  <c r="N230" i="1"/>
  <c r="M230" i="1"/>
  <c r="O229" i="1"/>
  <c r="O229" i="1" a="1"/>
  <c r="N229" i="1"/>
  <c r="M229" i="1"/>
  <c r="O228" i="1"/>
  <c r="O228" i="1" a="1"/>
  <c r="N228" i="1"/>
  <c r="M228" i="1"/>
  <c r="O227" i="1"/>
  <c r="O227" i="1" a="1"/>
  <c r="N227" i="1"/>
  <c r="M227" i="1"/>
  <c r="O226" i="1"/>
  <c r="O226" i="1" a="1"/>
  <c r="N226" i="1"/>
  <c r="M226" i="1"/>
  <c r="O225" i="1"/>
  <c r="O225" i="1" a="1"/>
  <c r="N225" i="1"/>
  <c r="M225" i="1"/>
  <c r="O224" i="1"/>
  <c r="O224" i="1" a="1"/>
  <c r="N224" i="1"/>
  <c r="M224" i="1"/>
  <c r="O223" i="1"/>
  <c r="O223" i="1" a="1"/>
  <c r="N223" i="1"/>
  <c r="M223" i="1"/>
  <c r="O222" i="1"/>
  <c r="O222" i="1" a="1"/>
  <c r="N222" i="1"/>
  <c r="M222" i="1"/>
  <c r="O221" i="1"/>
  <c r="O221" i="1" a="1"/>
  <c r="N221" i="1"/>
  <c r="M221" i="1"/>
  <c r="O220" i="1"/>
  <c r="O220" i="1" a="1"/>
  <c r="N220" i="1"/>
  <c r="M220" i="1"/>
  <c r="O219" i="1"/>
  <c r="O219" i="1" a="1"/>
  <c r="N219" i="1"/>
  <c r="M219" i="1"/>
  <c r="O218" i="1"/>
  <c r="O218" i="1" a="1"/>
  <c r="N218" i="1"/>
  <c r="M218" i="1"/>
  <c r="O217" i="1"/>
  <c r="O217" i="1" a="1"/>
  <c r="N217" i="1"/>
  <c r="M217" i="1"/>
  <c r="O216" i="1"/>
  <c r="O216" i="1" a="1"/>
  <c r="N216" i="1"/>
  <c r="M216" i="1"/>
  <c r="O215" i="1"/>
  <c r="O215" i="1" a="1"/>
  <c r="N215" i="1"/>
  <c r="M215" i="1"/>
  <c r="O214" i="1"/>
  <c r="O214" i="1" a="1"/>
  <c r="N214" i="1"/>
  <c r="M214" i="1"/>
  <c r="O213" i="1"/>
  <c r="O213" i="1" a="1"/>
  <c r="N213" i="1"/>
  <c r="M213" i="1"/>
  <c r="O212" i="1"/>
  <c r="O212" i="1" a="1"/>
  <c r="N212" i="1"/>
  <c r="M212" i="1"/>
  <c r="O211" i="1"/>
  <c r="O211" i="1" a="1"/>
  <c r="N211" i="1"/>
  <c r="M211" i="1"/>
  <c r="O210" i="1"/>
  <c r="O210" i="1" a="1"/>
  <c r="N210" i="1"/>
  <c r="M210" i="1"/>
  <c r="O209" i="1"/>
  <c r="O209" i="1" a="1"/>
  <c r="N209" i="1"/>
  <c r="M209" i="1"/>
  <c r="O208" i="1"/>
  <c r="O208" i="1" a="1"/>
  <c r="N208" i="1"/>
  <c r="M208" i="1"/>
  <c r="O207" i="1"/>
  <c r="O207" i="1" a="1"/>
  <c r="N207" i="1"/>
  <c r="M207" i="1"/>
  <c r="O206" i="1"/>
  <c r="O206" i="1" a="1"/>
  <c r="N206" i="1"/>
  <c r="M206" i="1"/>
  <c r="O205" i="1"/>
  <c r="O205" i="1" a="1"/>
  <c r="N205" i="1"/>
  <c r="M205" i="1"/>
  <c r="O204" i="1"/>
  <c r="O204" i="1" a="1"/>
  <c r="N204" i="1"/>
  <c r="M204" i="1"/>
  <c r="O203" i="1"/>
  <c r="O203" i="1" a="1"/>
  <c r="N203" i="1"/>
  <c r="M203" i="1"/>
  <c r="O202" i="1"/>
  <c r="O202" i="1" a="1"/>
  <c r="N202" i="1"/>
  <c r="M202" i="1"/>
  <c r="O201" i="1"/>
  <c r="O201" i="1" a="1"/>
  <c r="N201" i="1"/>
  <c r="M201" i="1"/>
  <c r="O200" i="1"/>
  <c r="O200" i="1" a="1"/>
  <c r="N200" i="1"/>
  <c r="M200" i="1"/>
  <c r="O199" i="1"/>
  <c r="O199" i="1" a="1"/>
  <c r="N199" i="1"/>
  <c r="M199" i="1"/>
  <c r="O198" i="1"/>
  <c r="O198" i="1" a="1"/>
  <c r="N198" i="1"/>
  <c r="M198" i="1"/>
  <c r="O197" i="1"/>
  <c r="O197" i="1" a="1"/>
  <c r="N197" i="1"/>
  <c r="M197" i="1"/>
  <c r="O196" i="1"/>
  <c r="O196" i="1" a="1"/>
  <c r="N196" i="1"/>
  <c r="M196" i="1"/>
  <c r="O195" i="1"/>
  <c r="O195" i="1" a="1"/>
  <c r="N195" i="1"/>
  <c r="M195" i="1"/>
  <c r="O194" i="1"/>
  <c r="O194" i="1" a="1"/>
  <c r="N194" i="1"/>
  <c r="M194" i="1"/>
  <c r="O193" i="1"/>
  <c r="O193" i="1" a="1"/>
  <c r="N193" i="1"/>
  <c r="M193" i="1"/>
  <c r="O192" i="1"/>
  <c r="O192" i="1" a="1"/>
  <c r="N192" i="1"/>
  <c r="M192" i="1"/>
  <c r="O191" i="1"/>
  <c r="O191" i="1" a="1"/>
  <c r="N191" i="1"/>
  <c r="M191" i="1"/>
  <c r="O190" i="1"/>
  <c r="O190" i="1" a="1"/>
  <c r="N190" i="1"/>
  <c r="M190" i="1"/>
  <c r="O189" i="1"/>
  <c r="O189" i="1" a="1"/>
  <c r="N189" i="1"/>
  <c r="M189" i="1"/>
  <c r="O188" i="1"/>
  <c r="O188" i="1" a="1"/>
  <c r="N188" i="1"/>
  <c r="M188" i="1"/>
  <c r="O187" i="1"/>
  <c r="O187" i="1" a="1"/>
  <c r="N187" i="1"/>
  <c r="M187" i="1"/>
  <c r="O186" i="1"/>
  <c r="O186" i="1" a="1"/>
  <c r="N186" i="1"/>
  <c r="M186" i="1"/>
  <c r="O185" i="1"/>
  <c r="O185" i="1" a="1"/>
  <c r="N185" i="1"/>
  <c r="M185" i="1"/>
  <c r="O184" i="1"/>
  <c r="O184" i="1" a="1"/>
  <c r="N184" i="1"/>
  <c r="M184" i="1"/>
  <c r="O183" i="1"/>
  <c r="O183" i="1" a="1"/>
  <c r="N183" i="1"/>
  <c r="M183" i="1"/>
  <c r="O182" i="1"/>
  <c r="O182" i="1" a="1"/>
  <c r="N182" i="1"/>
  <c r="M182" i="1"/>
  <c r="O181" i="1"/>
  <c r="O181" i="1" a="1"/>
  <c r="N181" i="1"/>
  <c r="M181" i="1"/>
  <c r="O180" i="1"/>
  <c r="O180" i="1" a="1"/>
  <c r="N180" i="1"/>
  <c r="M180" i="1"/>
  <c r="O179" i="1"/>
  <c r="O179" i="1" a="1"/>
  <c r="N179" i="1"/>
  <c r="M179" i="1"/>
  <c r="O178" i="1"/>
  <c r="O178" i="1" a="1"/>
  <c r="N178" i="1"/>
  <c r="M178" i="1"/>
  <c r="O177" i="1"/>
  <c r="O177" i="1" a="1"/>
  <c r="N177" i="1"/>
  <c r="M177" i="1"/>
  <c r="O176" i="1"/>
  <c r="O176" i="1" a="1"/>
  <c r="N176" i="1"/>
  <c r="M176" i="1"/>
  <c r="O175" i="1"/>
  <c r="O175" i="1" a="1"/>
  <c r="N175" i="1"/>
  <c r="M175" i="1"/>
  <c r="O174" i="1"/>
  <c r="O174" i="1" a="1"/>
  <c r="N174" i="1"/>
  <c r="M174" i="1"/>
  <c r="O173" i="1"/>
  <c r="O173" i="1" a="1"/>
  <c r="N173" i="1"/>
  <c r="M173" i="1"/>
  <c r="O172" i="1"/>
  <c r="O172" i="1" a="1"/>
  <c r="N172" i="1"/>
  <c r="M172" i="1"/>
  <c r="O171" i="1"/>
  <c r="O171" i="1" a="1"/>
  <c r="N171" i="1"/>
  <c r="M171" i="1"/>
  <c r="O170" i="1"/>
  <c r="O170" i="1" a="1"/>
  <c r="N170" i="1"/>
  <c r="M170" i="1"/>
  <c r="O169" i="1"/>
  <c r="O169" i="1" a="1"/>
  <c r="N169" i="1"/>
  <c r="M169" i="1"/>
  <c r="O168" i="1"/>
  <c r="O168" i="1" a="1"/>
  <c r="N168" i="1"/>
  <c r="M168" i="1"/>
  <c r="O167" i="1"/>
  <c r="O167" i="1" a="1"/>
  <c r="N167" i="1"/>
  <c r="M167" i="1"/>
  <c r="O166" i="1"/>
  <c r="O166" i="1" a="1"/>
  <c r="N166" i="1"/>
  <c r="M166" i="1"/>
  <c r="O165" i="1"/>
  <c r="O165" i="1" a="1"/>
  <c r="N165" i="1"/>
  <c r="M165" i="1"/>
  <c r="O164" i="1"/>
  <c r="O164" i="1" a="1"/>
  <c r="N164" i="1"/>
  <c r="M164" i="1"/>
  <c r="O163" i="1"/>
  <c r="O163" i="1" a="1"/>
  <c r="N163" i="1"/>
  <c r="M163" i="1"/>
  <c r="O162" i="1"/>
  <c r="O162" i="1" a="1"/>
  <c r="N162" i="1"/>
  <c r="M162" i="1"/>
  <c r="O161" i="1"/>
  <c r="O161" i="1" a="1"/>
  <c r="N161" i="1"/>
  <c r="M161" i="1"/>
  <c r="O160" i="1"/>
  <c r="O160" i="1" a="1"/>
  <c r="N160" i="1"/>
  <c r="M160" i="1"/>
  <c r="O159" i="1"/>
  <c r="O159" i="1" a="1"/>
  <c r="N159" i="1"/>
  <c r="M159" i="1"/>
  <c r="O158" i="1"/>
  <c r="O158" i="1" a="1"/>
  <c r="N158" i="1"/>
  <c r="M158" i="1"/>
  <c r="O157" i="1"/>
  <c r="O157" i="1" a="1"/>
  <c r="N157" i="1"/>
  <c r="M157" i="1"/>
  <c r="O156" i="1"/>
  <c r="O156" i="1" a="1"/>
  <c r="N156" i="1"/>
  <c r="M156" i="1"/>
  <c r="O155" i="1"/>
  <c r="O155" i="1" a="1"/>
  <c r="N155" i="1"/>
  <c r="M155" i="1"/>
  <c r="O154" i="1"/>
  <c r="O154" i="1" a="1"/>
  <c r="N154" i="1"/>
  <c r="M154" i="1"/>
  <c r="O153" i="1"/>
  <c r="O153" i="1" a="1"/>
  <c r="N153" i="1"/>
  <c r="M153" i="1"/>
  <c r="O152" i="1"/>
  <c r="O152" i="1" a="1"/>
  <c r="N152" i="1"/>
  <c r="M152" i="1"/>
  <c r="O151" i="1"/>
  <c r="O151" i="1" a="1"/>
  <c r="N151" i="1"/>
  <c r="M151" i="1"/>
  <c r="O150" i="1"/>
  <c r="O150" i="1" a="1"/>
  <c r="N150" i="1"/>
  <c r="M150" i="1"/>
  <c r="O149" i="1"/>
  <c r="O149" i="1" a="1"/>
  <c r="N149" i="1"/>
  <c r="M149" i="1"/>
  <c r="O148" i="1"/>
  <c r="O148" i="1" a="1"/>
  <c r="N148" i="1"/>
  <c r="M148" i="1"/>
  <c r="O147" i="1"/>
  <c r="O147" i="1" a="1"/>
  <c r="N147" i="1"/>
  <c r="M147" i="1"/>
  <c r="O146" i="1"/>
  <c r="O146" i="1" a="1"/>
  <c r="N146" i="1"/>
  <c r="M146" i="1"/>
  <c r="O145" i="1"/>
  <c r="O145" i="1" a="1"/>
  <c r="N145" i="1"/>
  <c r="M145" i="1"/>
  <c r="O144" i="1"/>
  <c r="O144" i="1" a="1"/>
  <c r="N144" i="1"/>
  <c r="M144" i="1"/>
  <c r="O143" i="1"/>
  <c r="O143" i="1" a="1"/>
  <c r="N143" i="1"/>
  <c r="M143" i="1"/>
  <c r="O142" i="1"/>
  <c r="O142" i="1" a="1"/>
  <c r="N142" i="1"/>
  <c r="M142" i="1"/>
  <c r="O141" i="1"/>
  <c r="O141" i="1" a="1"/>
  <c r="N141" i="1"/>
  <c r="M141" i="1"/>
  <c r="O140" i="1"/>
  <c r="O140" i="1" a="1"/>
  <c r="N140" i="1"/>
  <c r="M140" i="1"/>
  <c r="O139" i="1"/>
  <c r="O139" i="1" a="1"/>
  <c r="N139" i="1"/>
  <c r="M139" i="1"/>
  <c r="O138" i="1"/>
  <c r="O138" i="1" a="1"/>
  <c r="N138" i="1"/>
  <c r="M138" i="1"/>
  <c r="O137" i="1"/>
  <c r="O137" i="1" a="1"/>
  <c r="N137" i="1"/>
  <c r="M137" i="1"/>
  <c r="O136" i="1"/>
  <c r="O136" i="1" a="1"/>
  <c r="N136" i="1"/>
  <c r="M136" i="1"/>
  <c r="O135" i="1"/>
  <c r="O135" i="1" a="1"/>
  <c r="N135" i="1"/>
  <c r="M135" i="1"/>
  <c r="O134" i="1"/>
  <c r="O134" i="1" a="1"/>
  <c r="N134" i="1"/>
  <c r="M134" i="1"/>
  <c r="O133" i="1"/>
  <c r="O133" i="1" a="1"/>
  <c r="N133" i="1"/>
  <c r="M133" i="1"/>
  <c r="O132" i="1"/>
  <c r="O132" i="1" a="1"/>
  <c r="N132" i="1"/>
  <c r="M132" i="1"/>
  <c r="O131" i="1"/>
  <c r="O131" i="1" a="1"/>
  <c r="N131" i="1"/>
  <c r="M131" i="1"/>
  <c r="O130" i="1"/>
  <c r="O130" i="1" a="1"/>
  <c r="N130" i="1"/>
  <c r="M130" i="1"/>
  <c r="O129" i="1"/>
  <c r="O129" i="1" a="1"/>
  <c r="N129" i="1"/>
  <c r="M129" i="1"/>
  <c r="O128" i="1"/>
  <c r="O128" i="1" a="1"/>
  <c r="N128" i="1"/>
  <c r="M128" i="1"/>
  <c r="O127" i="1"/>
  <c r="O127" i="1" a="1"/>
  <c r="N127" i="1"/>
  <c r="M127" i="1"/>
  <c r="O126" i="1"/>
  <c r="O126" i="1" a="1"/>
  <c r="N126" i="1"/>
  <c r="M126" i="1"/>
  <c r="O125" i="1"/>
  <c r="O125" i="1" a="1"/>
  <c r="N125" i="1"/>
  <c r="M125" i="1"/>
  <c r="O124" i="1"/>
  <c r="O124" i="1" a="1"/>
  <c r="N124" i="1"/>
  <c r="M124" i="1"/>
  <c r="O123" i="1"/>
  <c r="O123" i="1" a="1"/>
  <c r="N123" i="1"/>
  <c r="M123" i="1"/>
  <c r="O122" i="1"/>
  <c r="O122" i="1" a="1"/>
  <c r="N122" i="1"/>
  <c r="M122" i="1"/>
  <c r="O121" i="1"/>
  <c r="O121" i="1" a="1"/>
  <c r="N121" i="1"/>
  <c r="M121" i="1"/>
  <c r="O120" i="1"/>
  <c r="O120" i="1" a="1"/>
  <c r="N120" i="1"/>
  <c r="M120" i="1"/>
  <c r="O119" i="1"/>
  <c r="O119" i="1" a="1"/>
  <c r="N119" i="1"/>
  <c r="M119" i="1"/>
  <c r="O118" i="1"/>
  <c r="O118" i="1" a="1"/>
  <c r="N118" i="1"/>
  <c r="M118" i="1"/>
  <c r="O117" i="1"/>
  <c r="O117" i="1" a="1"/>
  <c r="N117" i="1"/>
  <c r="M117" i="1"/>
  <c r="O116" i="1"/>
  <c r="O116" i="1" a="1"/>
  <c r="N116" i="1"/>
  <c r="M116" i="1"/>
  <c r="O115" i="1"/>
  <c r="O115" i="1" a="1"/>
  <c r="N115" i="1"/>
  <c r="M115" i="1"/>
  <c r="O114" i="1"/>
  <c r="O114" i="1" a="1"/>
  <c r="N114" i="1"/>
  <c r="M114" i="1"/>
  <c r="O113" i="1"/>
  <c r="O113" i="1" a="1"/>
  <c r="N113" i="1"/>
  <c r="M113" i="1"/>
  <c r="O112" i="1"/>
  <c r="O112" i="1" a="1"/>
  <c r="N112" i="1"/>
  <c r="M112" i="1"/>
  <c r="O111" i="1"/>
  <c r="O111" i="1" a="1"/>
  <c r="N111" i="1"/>
  <c r="M111" i="1"/>
  <c r="O110" i="1"/>
  <c r="O110" i="1" a="1"/>
  <c r="N110" i="1"/>
  <c r="M110" i="1"/>
  <c r="O109" i="1"/>
  <c r="O109" i="1" a="1"/>
  <c r="N109" i="1"/>
  <c r="M109" i="1"/>
  <c r="O108" i="1"/>
  <c r="O108" i="1" a="1"/>
  <c r="N108" i="1"/>
  <c r="M108" i="1"/>
  <c r="O107" i="1"/>
  <c r="O107" i="1" a="1"/>
  <c r="N107" i="1"/>
  <c r="M107" i="1"/>
  <c r="O106" i="1"/>
  <c r="O106" i="1" a="1"/>
  <c r="N106" i="1"/>
  <c r="M106" i="1"/>
  <c r="O105" i="1"/>
  <c r="O105" i="1" a="1"/>
  <c r="N105" i="1"/>
  <c r="M105" i="1"/>
  <c r="O104" i="1"/>
  <c r="O104" i="1" a="1"/>
  <c r="N104" i="1"/>
  <c r="M104" i="1"/>
  <c r="O103" i="1"/>
  <c r="O103" i="1" a="1"/>
  <c r="N103" i="1"/>
  <c r="M103" i="1"/>
  <c r="O102" i="1"/>
  <c r="O102" i="1" a="1"/>
  <c r="N102" i="1"/>
  <c r="M102" i="1"/>
  <c r="O101" i="1"/>
  <c r="O101" i="1" a="1"/>
  <c r="N101" i="1"/>
  <c r="M101" i="1"/>
  <c r="O100" i="1"/>
  <c r="O100" i="1" a="1"/>
  <c r="N100" i="1"/>
  <c r="M100" i="1"/>
  <c r="O99" i="1"/>
  <c r="O99" i="1" a="1"/>
  <c r="N99" i="1"/>
  <c r="M99" i="1"/>
  <c r="O98" i="1"/>
  <c r="O98" i="1" a="1"/>
  <c r="N98" i="1"/>
  <c r="M98" i="1"/>
  <c r="O97" i="1"/>
  <c r="O97" i="1" a="1"/>
  <c r="N97" i="1"/>
  <c r="M97" i="1"/>
  <c r="O96" i="1"/>
  <c r="O96" i="1" a="1"/>
  <c r="N96" i="1"/>
  <c r="M96" i="1"/>
  <c r="O95" i="1"/>
  <c r="O95" i="1" a="1"/>
  <c r="N95" i="1"/>
  <c r="M95" i="1"/>
  <c r="O94" i="1"/>
  <c r="O94" i="1" a="1"/>
  <c r="N94" i="1"/>
  <c r="M94" i="1"/>
  <c r="O93" i="1"/>
  <c r="O93" i="1" a="1"/>
  <c r="N93" i="1"/>
  <c r="M93" i="1"/>
  <c r="O92" i="1"/>
  <c r="O92" i="1" a="1"/>
  <c r="N92" i="1"/>
  <c r="M92" i="1"/>
  <c r="O91" i="1"/>
  <c r="O91" i="1" a="1"/>
  <c r="N91" i="1"/>
  <c r="M91" i="1"/>
  <c r="O90" i="1"/>
  <c r="O90" i="1" a="1"/>
  <c r="N90" i="1"/>
  <c r="M90" i="1"/>
  <c r="O89" i="1"/>
  <c r="O89" i="1" a="1"/>
  <c r="N89" i="1"/>
  <c r="M89" i="1"/>
  <c r="O88" i="1"/>
  <c r="O88" i="1" a="1"/>
  <c r="N88" i="1"/>
  <c r="M88" i="1"/>
  <c r="O87" i="1"/>
  <c r="O87" i="1" a="1"/>
  <c r="N87" i="1"/>
  <c r="M87" i="1"/>
  <c r="O86" i="1"/>
  <c r="O86" i="1" a="1"/>
  <c r="N86" i="1"/>
  <c r="M86" i="1"/>
  <c r="O85" i="1"/>
  <c r="O85" i="1" a="1"/>
  <c r="N85" i="1"/>
  <c r="M85" i="1"/>
  <c r="O84" i="1"/>
  <c r="O84" i="1" a="1"/>
  <c r="N84" i="1"/>
  <c r="M84" i="1"/>
  <c r="O83" i="1"/>
  <c r="O83" i="1" a="1"/>
  <c r="N83" i="1"/>
  <c r="M83" i="1"/>
  <c r="O82" i="1"/>
  <c r="O82" i="1" a="1"/>
  <c r="N82" i="1"/>
  <c r="M82" i="1"/>
  <c r="O81" i="1"/>
  <c r="O81" i="1" a="1"/>
  <c r="N81" i="1"/>
  <c r="M81" i="1"/>
  <c r="O80" i="1"/>
  <c r="O80" i="1" a="1"/>
  <c r="N80" i="1"/>
  <c r="M80" i="1"/>
  <c r="O79" i="1"/>
  <c r="O79" i="1" a="1"/>
  <c r="N79" i="1"/>
  <c r="M79" i="1"/>
  <c r="O78" i="1"/>
  <c r="O78" i="1" a="1"/>
  <c r="N78" i="1"/>
  <c r="M78" i="1"/>
  <c r="O77" i="1"/>
  <c r="O77" i="1" a="1"/>
  <c r="N77" i="1"/>
  <c r="M77" i="1"/>
  <c r="O76" i="1"/>
  <c r="O76" i="1" a="1"/>
  <c r="N76" i="1"/>
  <c r="M76" i="1"/>
  <c r="O75" i="1"/>
  <c r="O75" i="1" a="1"/>
  <c r="N75" i="1"/>
  <c r="M75" i="1"/>
  <c r="O74" i="1"/>
  <c r="O74" i="1" a="1"/>
  <c r="N74" i="1"/>
  <c r="M74" i="1"/>
  <c r="O73" i="1"/>
  <c r="O73" i="1" a="1"/>
  <c r="N73" i="1"/>
  <c r="M73" i="1"/>
  <c r="O72" i="1"/>
  <c r="O72" i="1" a="1"/>
  <c r="N72" i="1"/>
  <c r="M72" i="1"/>
  <c r="O71" i="1"/>
  <c r="O71" i="1" a="1"/>
  <c r="N71" i="1"/>
  <c r="M71" i="1"/>
  <c r="O70" i="1"/>
  <c r="O70" i="1" a="1"/>
  <c r="N70" i="1"/>
  <c r="M70" i="1"/>
  <c r="O69" i="1"/>
  <c r="O69" i="1" a="1"/>
  <c r="N69" i="1"/>
  <c r="M69" i="1"/>
  <c r="O68" i="1"/>
  <c r="O68" i="1" a="1"/>
  <c r="N68" i="1"/>
  <c r="M68" i="1"/>
  <c r="O67" i="1"/>
  <c r="O67" i="1" a="1"/>
  <c r="N67" i="1"/>
  <c r="M67" i="1"/>
  <c r="O66" i="1"/>
  <c r="O66" i="1" a="1"/>
  <c r="N66" i="1"/>
  <c r="M66" i="1"/>
  <c r="O65" i="1"/>
  <c r="O65" i="1" a="1"/>
  <c r="N65" i="1"/>
  <c r="M65" i="1"/>
  <c r="O64" i="1"/>
  <c r="O64" i="1" a="1"/>
  <c r="N64" i="1"/>
  <c r="M64" i="1"/>
  <c r="O63" i="1"/>
  <c r="O63" i="1" a="1"/>
  <c r="N63" i="1"/>
  <c r="M63" i="1"/>
  <c r="O62" i="1"/>
  <c r="O62" i="1" a="1"/>
  <c r="N62" i="1"/>
  <c r="M62" i="1"/>
  <c r="O61" i="1"/>
  <c r="O61" i="1" a="1"/>
  <c r="N61" i="1"/>
  <c r="M61" i="1"/>
  <c r="O60" i="1"/>
  <c r="O60" i="1" a="1"/>
  <c r="N60" i="1"/>
  <c r="M60" i="1"/>
  <c r="O59" i="1"/>
  <c r="O59" i="1" a="1"/>
  <c r="N59" i="1"/>
  <c r="M59" i="1"/>
  <c r="O58" i="1"/>
  <c r="O58" i="1" a="1"/>
  <c r="N58" i="1"/>
  <c r="M58" i="1"/>
  <c r="O57" i="1"/>
  <c r="O57" i="1" a="1"/>
  <c r="N57" i="1"/>
  <c r="M57" i="1"/>
  <c r="O56" i="1"/>
  <c r="O56" i="1" a="1"/>
  <c r="N56" i="1"/>
  <c r="M56" i="1"/>
  <c r="O55" i="1"/>
  <c r="O55" i="1" a="1"/>
  <c r="N55" i="1"/>
  <c r="M55" i="1"/>
  <c r="O54" i="1"/>
  <c r="O54" i="1" a="1"/>
  <c r="N54" i="1"/>
  <c r="M54" i="1"/>
  <c r="O53" i="1"/>
  <c r="O53" i="1" a="1"/>
  <c r="N53" i="1"/>
  <c r="M53" i="1"/>
  <c r="O52" i="1"/>
  <c r="O52" i="1" a="1"/>
  <c r="N52" i="1"/>
  <c r="M52" i="1"/>
  <c r="O51" i="1"/>
  <c r="O51" i="1" a="1"/>
  <c r="N51" i="1"/>
  <c r="M51" i="1"/>
  <c r="O50" i="1"/>
  <c r="O50" i="1" a="1"/>
  <c r="N50" i="1"/>
  <c r="M50" i="1"/>
  <c r="O49" i="1"/>
  <c r="O49" i="1" a="1"/>
  <c r="N49" i="1"/>
  <c r="M49" i="1"/>
  <c r="O48" i="1"/>
  <c r="O48" i="1" a="1"/>
  <c r="N48" i="1"/>
  <c r="M48" i="1"/>
  <c r="O47" i="1"/>
  <c r="O47" i="1" a="1"/>
  <c r="N47" i="1"/>
  <c r="M47" i="1"/>
  <c r="O46" i="1"/>
  <c r="O46" i="1" a="1"/>
  <c r="N46" i="1"/>
  <c r="M46" i="1"/>
  <c r="O45" i="1"/>
  <c r="O45" i="1" a="1"/>
  <c r="N45" i="1"/>
  <c r="M45" i="1"/>
  <c r="O44" i="1"/>
  <c r="O44" i="1" a="1"/>
  <c r="N44" i="1"/>
  <c r="M44" i="1"/>
  <c r="O43" i="1"/>
  <c r="O43" i="1" a="1"/>
  <c r="N43" i="1"/>
  <c r="M43" i="1"/>
  <c r="O42" i="1"/>
  <c r="O42" i="1" a="1"/>
  <c r="N42" i="1"/>
  <c r="M42" i="1"/>
  <c r="O41" i="1"/>
  <c r="O41" i="1" a="1"/>
  <c r="N41" i="1"/>
  <c r="M41" i="1"/>
  <c r="O40" i="1"/>
  <c r="O40" i="1" a="1"/>
  <c r="N40" i="1"/>
  <c r="M40" i="1"/>
  <c r="O39" i="1"/>
  <c r="O39" i="1" a="1"/>
  <c r="N39" i="1"/>
  <c r="M39" i="1"/>
  <c r="O38" i="1"/>
  <c r="O38" i="1" a="1"/>
  <c r="N38" i="1"/>
  <c r="M38" i="1"/>
  <c r="O37" i="1"/>
  <c r="O37" i="1" a="1"/>
  <c r="N37" i="1"/>
  <c r="M37" i="1"/>
  <c r="O36" i="1"/>
  <c r="O36" i="1" a="1"/>
  <c r="N36" i="1"/>
  <c r="M36" i="1"/>
  <c r="O35" i="1"/>
  <c r="O35" i="1" a="1"/>
  <c r="N35" i="1"/>
  <c r="M35" i="1"/>
  <c r="O34" i="1"/>
  <c r="O34" i="1" a="1"/>
  <c r="N34" i="1"/>
  <c r="M34" i="1"/>
  <c r="O33" i="1"/>
  <c r="O33" i="1" a="1"/>
  <c r="N33" i="1"/>
  <c r="M33" i="1"/>
  <c r="O32" i="1"/>
  <c r="O32" i="1" a="1"/>
  <c r="N32" i="1"/>
  <c r="M32" i="1"/>
  <c r="O31" i="1"/>
  <c r="O31" i="1" a="1"/>
  <c r="N31" i="1"/>
  <c r="M31" i="1"/>
  <c r="O30" i="1"/>
  <c r="O30" i="1" a="1"/>
  <c r="N30" i="1"/>
  <c r="M30" i="1"/>
  <c r="O29" i="1"/>
  <c r="O29" i="1" a="1"/>
  <c r="N29" i="1"/>
  <c r="M29" i="1"/>
  <c r="O28" i="1"/>
  <c r="O28" i="1" a="1"/>
  <c r="N28" i="1"/>
  <c r="M28" i="1"/>
  <c r="O27" i="1"/>
  <c r="O27" i="1" a="1"/>
  <c r="N27" i="1"/>
  <c r="M27" i="1"/>
  <c r="O26" i="1"/>
  <c r="O26" i="1" a="1"/>
  <c r="N26" i="1"/>
  <c r="M26" i="1"/>
  <c r="O25" i="1"/>
  <c r="O25" i="1" a="1"/>
  <c r="N25" i="1"/>
  <c r="M25" i="1"/>
  <c r="O24" i="1"/>
  <c r="O24" i="1" a="1"/>
  <c r="N24" i="1"/>
  <c r="M24" i="1"/>
  <c r="O23" i="1"/>
  <c r="O23" i="1" a="1"/>
  <c r="N23" i="1"/>
  <c r="M23" i="1"/>
  <c r="O22" i="1"/>
  <c r="O22" i="1" a="1"/>
  <c r="N22" i="1"/>
  <c r="M22" i="1"/>
  <c r="O21" i="1"/>
  <c r="O21" i="1" a="1"/>
  <c r="N21" i="1"/>
  <c r="M21" i="1"/>
  <c r="O20" i="1"/>
  <c r="O20" i="1" a="1"/>
  <c r="N20" i="1"/>
  <c r="M20" i="1"/>
  <c r="O19" i="1"/>
  <c r="O19" i="1" a="1"/>
  <c r="N19" i="1"/>
  <c r="M19" i="1"/>
  <c r="O18" i="1"/>
  <c r="O18" i="1" a="1"/>
  <c r="N18" i="1"/>
  <c r="M18" i="1"/>
  <c r="O17" i="1"/>
  <c r="O17" i="1" a="1"/>
  <c r="N17" i="1"/>
  <c r="M17" i="1"/>
  <c r="O16" i="1"/>
  <c r="O16" i="1" a="1"/>
  <c r="N16" i="1"/>
  <c r="M16" i="1"/>
  <c r="O15" i="1"/>
  <c r="O15" i="1" a="1"/>
  <c r="N15" i="1"/>
  <c r="M15" i="1"/>
  <c r="O14" i="1"/>
  <c r="O14" i="1" a="1"/>
  <c r="N14" i="1"/>
  <c r="M14" i="1"/>
  <c r="O13" i="1"/>
  <c r="O13" i="1" a="1"/>
  <c r="N13" i="1"/>
  <c r="M13" i="1"/>
  <c r="O12" i="1"/>
  <c r="O12" i="1" a="1"/>
  <c r="N12" i="1"/>
  <c r="M12" i="1"/>
  <c r="O11" i="1"/>
  <c r="O11" i="1" a="1"/>
  <c r="N11" i="1"/>
  <c r="M11" i="1"/>
  <c r="O10" i="1"/>
  <c r="O10" i="1" a="1"/>
  <c r="N10" i="1"/>
  <c r="M10" i="1"/>
  <c r="O9" i="1"/>
  <c r="O9" i="1" a="1"/>
  <c r="N9" i="1"/>
  <c r="M9" i="1"/>
  <c r="O8" i="1"/>
  <c r="O8" i="1" a="1"/>
  <c r="N8" i="1"/>
  <c r="M8" i="1"/>
  <c r="O7" i="1"/>
  <c r="O7" i="1" a="1"/>
  <c r="N7" i="1"/>
  <c r="M7" i="1"/>
  <c r="O6" i="1"/>
  <c r="O6" i="1" a="1"/>
  <c r="N6" i="1"/>
  <c r="M6" i="1"/>
  <c r="O5" i="1"/>
  <c r="O5" i="1" a="1"/>
  <c r="N5" i="1"/>
  <c r="M5" i="1"/>
  <c r="O4" i="1"/>
  <c r="O4" i="1" a="1"/>
  <c r="N4" i="1"/>
  <c r="M4" i="1"/>
  <c r="O3" i="1"/>
  <c r="O3" i="1" a="1"/>
  <c r="N3" i="1"/>
  <c r="M3" i="1"/>
  <c r="O2" i="1"/>
  <c r="O2" i="1" a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<sst xmlns="http://schemas.openxmlformats.org/spreadsheetml/2006/main" count="14854" uniqueCount="2527">
  <si>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</si>
  <si>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</si>
  <si>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</si>
  <si>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</si>
  <si>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</si>
  <si>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</si>
  <si>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</si>
  <si>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</si>
  <si>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</si>
  <si>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</si>
  <si>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</si>
  <si>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</si>
  <si>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</si>
  <si>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</si>
  <si>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</si>
  <si>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</si>
  <si>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</si>
  <si>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</si>
  <si>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</si>
  <si>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</si>
  <si>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</si>
  <si>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</si>
  <si>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</si>
  <si>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</si>
  <si>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</si>
  <si>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</si>
  <si>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</si>
  <si>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</si>
  <si>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</si>
  <si>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</si>
  <si>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</si>
  <si>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</si>
  <si>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</si>
  <si>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</si>
  <si>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</si>
  <si>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</si>
  <si>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</si>
  <si>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</si>
  <si>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</si>
  <si>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</si>
  <si>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</si>
  <si>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</si>
  <si>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</si>
  <si>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</si>
  <si>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</si>
  <si>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</si>
  <si>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</si>
  <si>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</si>
  <si>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</si>
  <si>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</si>
  <si>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</si>
  <si>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</si>
  <si>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</si>
  <si>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</si>
  <si>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</si>
  <si>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</si>
  <si>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</si>
  <si>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</si>
  <si>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</si>
  <si>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</si>
  <si>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</si>
  <si>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</si>
  <si>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</si>
  <si>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</si>
  <si>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</si>
  <si>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</si>
  <si>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</si>
  <si>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</si>
  <si>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</si>
  <si>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</si>
  <si>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</si>
  <si>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</si>
  <si>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</si>
  <si>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</si>
  <si>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</si>
  <si>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</si>
  <si>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</si>
  <si>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</si>
  <si>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</si>
  <si>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</si>
  <si>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</si>
  <si>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</si>
  <si>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</si>
  <si>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</si>
  <si>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</si>
  <si>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</si>
  <si>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</si>
  <si>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</si>
  <si>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</si>
  <si>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</si>
  <si>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</si>
  <si>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</si>
  <si>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</si>
  <si>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</si>
  <si>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</si>
  <si>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</si>
  <si>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</si>
  <si>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</si>
  <si>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</si>
  <si>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</si>
  <si>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</si>
  <si>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</si>
  <si>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</si>
  <si>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</si>
  <si>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</si>
  <si>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</si>
  <si>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</si>
  <si>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</si>
  <si>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</si>
  <si>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</si>
  <si>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</si>
  <si>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</si>
  <si>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</si>
  <si>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</si>
  <si>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</si>
  <si>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</si>
  <si>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</si>
  <si>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</si>
  <si>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</si>
  <si>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</si>
  <si>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</si>
  <si>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</si>
  <si>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</si>
  <si>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</si>
  <si>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</si>
  <si>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</si>
  <si>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</si>
  <si>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</si>
  <si>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</si>
  <si>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</si>
  <si>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</si>
  <si>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</si>
  <si>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</si>
  <si>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</si>
  <si>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</si>
  <si>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</si>
  <si>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</si>
  <si>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</si>
  <si>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</si>
  <si>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</si>
  <si>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</si>
  <si>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</si>
  <si>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</si>
  <si>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</si>
  <si>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</si>
  <si>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</si>
  <si>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</si>
  <si>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</si>
  <si>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</si>
  <si>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</si>
  <si>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</si>
  <si>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</si>
  <si>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</si>
  <si>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</si>
  <si>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</si>
  <si>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</si>
  <si>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</si>
  <si>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</si>
  <si>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</si>
  <si>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</si>
  <si>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</si>
  <si>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</si>
  <si>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</si>
  <si>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</si>
  <si>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</si>
  <si>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</si>
  <si>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</si>
  <si>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</si>
  <si>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</si>
  <si>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</si>
  <si>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</si>
  <si>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</si>
  <si>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</si>
  <si>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</si>
  <si>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</si>
  <si>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</si>
  <si>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</si>
  <si>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</si>
  <si>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</si>
  <si>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</si>
  <si>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</si>
  <si>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</si>
  <si>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</si>
  <si>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</si>
  <si>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</si>
  <si>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</si>
  <si>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</si>
  <si>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</si>
  <si>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</si>
  <si>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</si>
  <si>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</si>
  <si>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</si>
  <si>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</si>
  <si>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</si>
  <si>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</si>
  <si>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</si>
  <si>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</si>
  <si>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</si>
  <si>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</si>
  <si>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</si>
  <si>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</si>
  <si>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</si>
  <si>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</si>
  <si>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</si>
  <si>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</si>
  <si>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</si>
  <si>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</si>
  <si>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</si>
  <si>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</si>
  <si>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</si>
  <si>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</si>
  <si>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</si>
  <si>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</si>
  <si>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</si>
  <si>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</si>
  <si>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</si>
  <si>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</si>
  <si>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</si>
  <si>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</si>
  <si>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</si>
  <si>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</si>
  <si>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</si>
  <si>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</si>
  <si>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</si>
  <si>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</si>
  <si>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</si>
  <si>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</si>
  <si>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</si>
  <si>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</si>
  <si>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</si>
  <si>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</si>
  <si>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</si>
  <si>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</si>
  <si>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</si>
  <si>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</si>
  <si>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</si>
  <si>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</si>
  <si>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</si>
  <si>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</si>
  <si>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</si>
  <si>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</si>
  <si>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</si>
  <si>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</si>
  <si>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</si>
  <si>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</si>
  <si>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</si>
  <si>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</si>
  <si>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</si>
  <si>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</si>
  <si>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</si>
  <si>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</si>
  <si>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</si>
  <si>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</si>
  <si>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</si>
  <si>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</si>
  <si>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</si>
  <si>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</si>
  <si>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</si>
  <si>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</si>
  <si>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</si>
  <si>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</si>
  <si>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</si>
  <si>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</si>
  <si>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</si>
  <si>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</si>
  <si>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</si>
  <si>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</si>
  <si>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</si>
  <si>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</si>
  <si>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</si>
  <si>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</si>
  <si>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</si>
  <si>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</si>
  <si>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</si>
  <si>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</si>
  <si>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</si>
  <si>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</si>
  <si>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</si>
  <si>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</si>
  <si>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</si>
  <si>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</si>
  <si>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</si>
  <si>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</si>
  <si>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</si>
  <si>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</si>
  <si>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</si>
  <si>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</si>
  <si>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</si>
  <si>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</si>
  <si>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</si>
  <si>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</si>
  <si>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</si>
  <si>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</si>
  <si>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</si>
  <si>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</si>
  <si>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</si>
  <si>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</si>
  <si>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</si>
  <si>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</si>
  <si>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</si>
  <si>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</si>
  <si>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</si>
  <si>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</si>
  <si>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</si>
  <si>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</si>
  <si>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</si>
  <si>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</si>
  <si>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</si>
  <si>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</si>
  <si>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</si>
  <si>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</si>
  <si>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</si>
  <si>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</si>
  <si>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</si>
  <si>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</si>
  <si>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</si>
  <si>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</si>
  <si>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</si>
  <si>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</si>
  <si>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</si>
  <si>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</si>
  <si>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</si>
  <si>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</si>
  <si>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</si>
  <si>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</si>
  <si>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</si>
  <si>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</si>
  <si>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</si>
  <si>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</si>
  <si>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</si>
  <si>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</si>
  <si>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</si>
  <si>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</si>
  <si>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</si>
  <si>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</si>
  <si>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</si>
  <si>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</si>
  <si>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</si>
  <si>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</si>
  <si>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</si>
  <si>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</si>
  <si>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</si>
  <si>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</si>
  <si>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</si>
  <si>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</si>
  <si>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</si>
  <si>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</si>
  <si>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</si>
  <si>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</si>
  <si>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</si>
  <si>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</si>
  <si>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</si>
  <si>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</si>
  <si>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</si>
  <si>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</si>
  <si>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</si>
  <si>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</si>
  <si>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</si>
  <si>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</si>
  <si>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</si>
  <si>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</si>
  <si>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</si>
  <si>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</si>
  <si>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</si>
  <si>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</si>
  <si>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</si>
  <si>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</si>
  <si>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</si>
  <si>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</si>
  <si>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</si>
  <si>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</si>
  <si>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</si>
  <si>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</si>
  <si>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</si>
  <si>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</si>
  <si>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</si>
  <si>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</si>
  <si>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</si>
  <si>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</si>
  <si>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</si>
  <si>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</si>
  <si>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</si>
  <si>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</si>
  <si>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</si>
  <si>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</si>
  <si>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</si>
  <si>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</si>
  <si>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</si>
  <si>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</si>
  <si>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</si>
  <si>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</si>
  <si>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</si>
  <si>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</si>
  <si>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</si>
  <si>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</si>
  <si>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</si>
  <si>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</si>
  <si>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</si>
  <si>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</si>
  <si>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</si>
  <si>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</si>
  <si>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</si>
  <si>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</si>
  <si>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</si>
  <si>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</si>
  <si>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</si>
  <si>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</si>
  <si>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</si>
  <si>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</si>
  <si>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</si>
  <si>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</si>
  <si>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</si>
  <si>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</si>
  <si>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</si>
  <si>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</si>
  <si>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</si>
  <si>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</si>
  <si>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</si>
  <si>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</si>
  <si>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</si>
  <si>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</si>
  <si>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</si>
  <si>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</si>
  <si>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</si>
  <si>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</si>
  <si>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</si>
  <si>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</si>
  <si>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</si>
  <si>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</si>
  <si>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</si>
  <si>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</si>
  <si>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</si>
  <si>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</si>
  <si>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</si>
  <si>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</si>
  <si>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</si>
  <si>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</si>
  <si>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</si>
  <si>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</si>
  <si>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</si>
  <si>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</si>
  <si>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</si>
  <si>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</si>
  <si>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</si>
  <si>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</si>
  <si>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</si>
  <si>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</si>
  <si>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</si>
  <si>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</si>
  <si>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</si>
  <si>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</si>
  <si>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</si>
  <si>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</si>
  <si>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</si>
  <si>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</si>
  <si>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</si>
  <si>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</si>
  <si>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</si>
  <si>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</si>
  <si>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</si>
  <si>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</si>
  <si>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</si>
  <si>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</si>
  <si>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</si>
  <si>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</si>
  <si>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</si>
  <si>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</si>
  <si>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</si>
  <si>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</si>
  <si>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</si>
  <si>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</si>
  <si>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</si>
  <si>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</si>
  <si>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</si>
  <si>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</si>
  <si>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</si>
  <si>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</si>
  <si>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</si>
  <si>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</si>
  <si>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</si>
  <si>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</si>
  <si>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</si>
  <si>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</si>
  <si>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</si>
  <si>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</si>
  <si>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</si>
  <si>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</si>
  <si>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</si>
  <si>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</si>
  <si>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</si>
  <si>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</si>
  <si>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</si>
  <si>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</si>
  <si>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</si>
  <si>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</si>
  <si>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</si>
  <si>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</si>
  <si>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</si>
  <si>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</si>
  <si>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</si>
  <si>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</si>
  <si>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</si>
  <si>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</si>
  <si>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</si>
  <si>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</si>
  <si>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</si>
  <si>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</si>
  <si>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</si>
  <si>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</si>
  <si>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</si>
  <si>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</si>
  <si>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</si>
  <si>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</si>
  <si>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</si>
  <si>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</si>
  <si>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</si>
  <si>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</si>
  <si>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</si>
  <si>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</si>
  <si>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</si>
  <si>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</si>
  <si>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</si>
  <si>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</si>
  <si>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</si>
  <si>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</si>
  <si>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</si>
  <si>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</si>
  <si>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</si>
  <si>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</si>
  <si>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</si>
  <si>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</si>
  <si>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</si>
  <si>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</si>
  <si>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</si>
  <si>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</si>
  <si>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</si>
  <si>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</si>
  <si>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</si>
  <si>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</si>
  <si>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</si>
  <si>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</si>
  <si>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</si>
  <si>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</si>
  <si>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</si>
  <si>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</si>
  <si>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</si>
  <si>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</si>
  <si>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</si>
  <si>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</si>
  <si>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</si>
  <si>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</si>
  <si>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</si>
  <si>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</si>
  <si>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</si>
  <si>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</si>
  <si>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</si>
  <si>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</si>
  <si>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</si>
  <si>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</si>
  <si>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</si>
  <si>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</si>
  <si>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</si>
  <si>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</si>
  <si>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</si>
  <si>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</si>
  <si>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</si>
  <si>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</si>
  <si>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</si>
  <si>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</si>
  <si>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</si>
  <si>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</si>
  <si>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</si>
  <si>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</si>
  <si>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</si>
  <si>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</si>
  <si>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</si>
  <si>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</si>
  <si>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</si>
  <si>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</si>
  <si>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</si>
  <si>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</si>
  <si>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</si>
  <si>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</si>
  <si>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</si>
  <si>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</si>
  <si>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</si>
  <si>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</si>
  <si>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</si>
  <si>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</si>
  <si>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</si>
  <si>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</si>
  <si>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</si>
  <si>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</si>
  <si>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</si>
  <si>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</si>
  <si>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</si>
  <si>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</si>
  <si>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</si>
  <si>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</si>
  <si>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</si>
  <si>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</si>
  <si>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</si>
  <si>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</si>
  <si>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</si>
  <si>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</si>
  <si>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</si>
  <si>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</si>
  <si>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</si>
  <si>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</si>
  <si>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</si>
  <si>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</si>
  <si>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</si>
  <si>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</si>
  <si>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</si>
  <si>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</si>
  <si>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</si>
  <si>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</si>
  <si>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</si>
  <si>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</si>
  <si>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</si>
  <si>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</si>
  <si>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</si>
  <si>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</si>
  <si>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</si>
  <si>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</si>
  <si>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</si>
  <si>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</si>
  <si>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</si>
  <si>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</si>
  <si>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</si>
  <si>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</si>
  <si>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</si>
  <si>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</si>
  <si>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</si>
  <si>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</si>
  <si>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</si>
  <si>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</si>
  <si>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</si>
  <si>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</si>
  <si>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</si>
  <si>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</si>
  <si>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</si>
  <si>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</si>
  <si>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</si>
  <si>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</si>
  <si>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</si>
  <si>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</si>
  <si>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</si>
  <si>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</si>
  <si>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</si>
  <si>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</si>
  <si>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</si>
  <si>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</si>
  <si>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</si>
  <si>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</si>
  <si>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</si>
  <si>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</si>
  <si>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</si>
  <si>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</si>
  <si>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</si>
  <si>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</si>
  <si>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</si>
  <si>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</si>
  <si>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</si>
  <si>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</si>
  <si>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</si>
  <si>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</si>
  <si>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</si>
  <si>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</si>
  <si>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</si>
  <si>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</si>
  <si>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</si>
  <si>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</si>
  <si>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</si>
  <si>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</si>
  <si>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</si>
  <si>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</si>
  <si>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</si>
  <si>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</si>
  <si>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</si>
  <si>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</si>
  <si>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</si>
  <si>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</si>
  <si>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</si>
  <si>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</si>
  <si>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</si>
  <si>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</si>
  <si>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</si>
  <si>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</si>
  <si>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</si>
  <si>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</si>
  <si>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</si>
  <si>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</si>
  <si>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</si>
  <si>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</si>
  <si>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</si>
  <si>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</si>
  <si>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</si>
  <si>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</si>
  <si>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</si>
  <si>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</si>
  <si>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</si>
  <si>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</si>
  <si>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</si>
  <si>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</si>
  <si>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</si>
  <si>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</si>
  <si>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</si>
  <si>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</si>
  <si>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</si>
  <si>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</si>
  <si>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</si>
  <si>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</si>
  <si>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</si>
  <si>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</si>
  <si>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</si>
  <si>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</si>
  <si>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</si>
  <si>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</si>
  <si>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</si>
  <si>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</si>
  <si>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</si>
  <si>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</si>
  <si>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</si>
  <si>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</si>
  <si>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</si>
  <si>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</si>
  <si>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</si>
  <si>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</si>
  <si>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</si>
  <si>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</si>
  <si>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</si>
  <si>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</si>
  <si>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</si>
  <si>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</si>
  <si>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</si>
  <si>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</si>
  <si>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</si>
  <si>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</si>
  <si>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</si>
  <si>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</si>
  <si>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</si>
  <si>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</si>
  <si>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</si>
  <si>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</si>
  <si>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</si>
  <si>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</si>
  <si>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</si>
  <si>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</si>
  <si>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</si>
  <si>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</si>
  <si>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</si>
  <si>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</si>
  <si>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</si>
  <si>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</si>
  <si>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</si>
  <si>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</si>
  <si>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</si>
  <si>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</si>
  <si>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</si>
  <si>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</si>
  <si>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</si>
  <si>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</si>
  <si>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</si>
  <si>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</si>
  <si>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</si>
  <si>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</si>
  <si>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</si>
  <si>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</si>
  <si>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</si>
  <si>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</si>
  <si>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</si>
  <si>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</si>
  <si>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</si>
  <si>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</si>
  <si>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</si>
  <si>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</si>
  <si>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</si>
  <si>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</si>
  <si>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</si>
  <si>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</si>
  <si>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</si>
  <si>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</si>
  <si>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</si>
  <si>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</si>
  <si>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</si>
  <si>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</si>
  <si>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</si>
  <si>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</si>
  <si>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</si>
  <si>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</si>
  <si>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</si>
  <si>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</si>
  <si>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</si>
  <si>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</si>
  <si>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</si>
  <si>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</si>
  <si>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</si>
  <si>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</si>
  <si>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</si>
  <si>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</si>
  <si>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</si>
  <si>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</si>
  <si>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</si>
  <si>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</si>
  <si>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</si>
  <si>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</si>
  <si>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</si>
  <si>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</si>
  <si>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</si>
  <si>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</si>
  <si>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</si>
  <si>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</si>
  <si>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</si>
  <si>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</si>
  <si>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</si>
  <si>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</si>
  <si>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</si>
  <si>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</si>
  <si>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</si>
  <si>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</si>
  <si>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</si>
  <si>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</si>
  <si>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</si>
  <si>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</si>
  <si>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</si>
  <si>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</si>
  <si>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</si>
  <si>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</si>
  <si>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</si>
  <si>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</si>
  <si>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</si>
  <si>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</si>
  <si>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</si>
  <si>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</si>
  <si>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</si>
  <si>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</si>
  <si>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</si>
  <si>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</si>
  <si>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</si>
  <si>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</si>
  <si>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</si>
  <si>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</si>
  <si>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</si>
  <si>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</si>
  <si>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</si>
  <si>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</si>
  <si>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</si>
  <si>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</si>
  <si>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</si>
  <si>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</si>
  <si>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</si>
  <si>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</si>
  <si>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</si>
  <si>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</si>
  <si>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</si>
  <si>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</si>
  <si>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</si>
  <si>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</si>
  <si>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</si>
  <si>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</si>
  <si>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</si>
  <si>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</si>
  <si>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</si>
  <si>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</si>
  <si>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</si>
  <si>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</si>
  <si>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</si>
  <si>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</si>
  <si>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</si>
  <si>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</si>
  <si>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</si>
  <si>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</si>
  <si>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</si>
  <si>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</si>
  <si>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</si>
  <si>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</si>
  <si>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</si>
  <si>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</si>
  <si>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</si>
  <si>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</si>
  <si>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</si>
  <si>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</si>
  <si>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</si>
  <si>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</si>
  <si>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</si>
  <si>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</si>
  <si>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</si>
  <si>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</si>
  <si>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</si>
  <si>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</si>
  <si>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</si>
  <si>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</si>
  <si>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</si>
  <si>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</si>
  <si>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</si>
  <si>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</si>
  <si>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</si>
  <si>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</si>
  <si>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</si>
  <si>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</si>
  <si>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</si>
  <si>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</si>
  <si>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</si>
  <si>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</si>
  <si>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</si>
  <si>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</si>
  <si>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</si>
  <si>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</si>
  <si>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</si>
  <si>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</si>
  <si>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</si>
  <si>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</si>
  <si>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</si>
  <si>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</si>
  <si>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</si>
  <si>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</si>
  <si>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</si>
  <si>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</si>
  <si>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</si>
  <si>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</si>
  <si>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</si>
  <si>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</si>
  <si>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</si>
  <si>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</si>
  <si>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</si>
  <si>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</si>
  <si>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</si>
  <si>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</si>
  <si>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</si>
  <si>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</si>
  <si>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</si>
  <si>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</si>
  <si>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</si>
  <si>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</si>
  <si>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</si>
  <si>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</si>
  <si>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</si>
  <si>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</si>
  <si>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</si>
  <si>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</si>
  <si>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</si>
  <si>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</si>
  <si>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</si>
  <si>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</si>
  <si>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</si>
  <si>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</si>
  <si>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</si>
  <si>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</si>
  <si>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</si>
  <si>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</si>
  <si>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</si>
  <si>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</si>
  <si>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</si>
  <si>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</si>
  <si>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</si>
  <si>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</si>
  <si>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</si>
  <si>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</si>
  <si>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</si>
  <si>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</si>
  <si>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</si>
  <si>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</si>
  <si>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</si>
  <si>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</si>
  <si>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</si>
  <si>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</si>
  <si>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</si>
  <si>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</si>
  <si>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</si>
  <si>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</si>
  <si>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</si>
  <si>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</si>
  <si>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</si>
  <si>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</si>
  <si>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</si>
  <si>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</si>
  <si>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</si>
  <si>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</si>
  <si>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</si>
  <si>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</si>
  <si>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</si>
  <si>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</si>
  <si>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</si>
  <si>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</si>
  <si>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</si>
  <si>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</si>
  <si>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</si>
  <si>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</si>
  <si>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</si>
  <si>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</si>
  <si>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</si>
  <si>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</si>
  <si>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</si>
  <si>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</si>
  <si>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</si>
  <si>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</si>
  <si>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</si>
  <si>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</si>
  <si>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</si>
  <si>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</si>
  <si>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</si>
  <si>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</si>
  <si>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</si>
  <si>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</si>
  <si>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</si>
  <si>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</si>
  <si>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</si>
  <si>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</si>
  <si>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</si>
  <si>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</si>
  <si>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</si>
  <si>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</si>
  <si>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</si>
  <si>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</si>
  <si>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</si>
  <si>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</si>
  <si>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</si>
  <si>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</si>
  <si>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</si>
  <si>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</si>
  <si>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</si>
  <si>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</si>
  <si>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</si>
  <si>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</si>
  <si>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</si>
  <si>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</si>
  <si>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</si>
  <si>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</si>
  <si>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</si>
  <si>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</si>
  <si>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</si>
  <si>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</si>
  <si>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</si>
  <si>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</si>
  <si>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</si>
  <si>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</si>
  <si>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</si>
  <si>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</si>
  <si>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</si>
  <si>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</si>
  <si>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</si>
  <si>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</si>
  <si>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</si>
  <si>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</si>
  <si>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</si>
  <si>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</si>
  <si>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</si>
  <si>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</si>
  <si>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</si>
  <si>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</si>
  <si>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</si>
  <si>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</si>
  <si>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</si>
  <si>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</si>
  <si>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</si>
  <si>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</si>
  <si>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</si>
  <si>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</si>
  <si>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</si>
  <si>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</si>
  <si>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</si>
  <si>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</si>
  <si>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</si>
  <si>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</si>
  <si>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</si>
  <si>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</si>
  <si>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</si>
  <si>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</si>
  <si>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</si>
  <si>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</si>
  <si>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</si>
  <si>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</si>
  <si>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</si>
  <si>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</si>
  <si>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</si>
  <si>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</si>
  <si>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</si>
  <si>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</si>
  <si>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</si>
  <si>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</si>
  <si>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</si>
  <si>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</si>
  <si>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</si>
  <si>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</si>
  <si>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</si>
  <si>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</si>
  <si>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</si>
  <si>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</si>
  <si>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</si>
  <si>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</si>
  <si>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</si>
  <si>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</si>
  <si>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</si>
  <si>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</si>
  <si>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</si>
  <si>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</si>
  <si>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</si>
  <si>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</si>
  <si>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</si>
  <si>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</si>
  <si>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</si>
  <si>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</si>
  <si>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</si>
  <si>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</si>
  <si>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</si>
  <si>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</si>
  <si>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</si>
  <si>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</si>
  <si>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</si>
  <si>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</si>
  <si>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</si>
  <si>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</si>
  <si>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</si>
  <si>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</si>
  <si>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</si>
  <si>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</si>
  <si>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</si>
  <si>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</si>
  <si>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</si>
  <si>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</si>
  <si>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</si>
  <si>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</si>
  <si>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</si>
  <si>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</si>
  <si>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</si>
  <si>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</si>
  <si>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</si>
  <si>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</si>
  <si>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</si>
  <si>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</si>
  <si>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</si>
  <si>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</si>
  <si>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</si>
  <si>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</si>
  <si>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</si>
  <si>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</si>
  <si>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</si>
  <si>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</si>
  <si>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</si>
  <si>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</si>
  <si>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</si>
  <si>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</si>
  <si>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</si>
  <si>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</si>
  <si>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</si>
  <si>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</si>
  <si>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</si>
  <si>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</si>
  <si>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</si>
  <si>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</si>
  <si>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</si>
  <si>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</si>
  <si>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</si>
  <si>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</si>
  <si>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</si>
  <si>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</si>
  <si>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</si>
  <si>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</si>
  <si>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</si>
  <si>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</si>
  <si>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</si>
  <si>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</si>
  <si>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</si>
  <si>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</si>
  <si>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</si>
  <si>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</si>
  <si>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</si>
  <si>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</si>
  <si>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</si>
  <si>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</si>
  <si>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</si>
  <si>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</si>
  <si>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</si>
  <si>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</si>
  <si>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</si>
  <si>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</si>
  <si>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</si>
  <si>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</si>
  <si>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</si>
  <si>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</si>
  <si>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</si>
  <si>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</si>
  <si>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</si>
  <si>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</si>
  <si>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</si>
  <si>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</si>
  <si>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</si>
  <si>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</si>
  <si>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</si>
  <si>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</si>
  <si>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</si>
  <si>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</si>
  <si>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</si>
  <si>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</si>
  <si>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</si>
  <si>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</si>
  <si>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</si>
  <si>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</si>
  <si>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</si>
  <si>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</si>
  <si>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</si>
  <si>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</si>
  <si>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</si>
  <si>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</si>
  <si>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</si>
  <si>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</si>
  <si>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</si>
  <si>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</si>
  <si>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</si>
  <si>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</si>
  <si>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</si>
  <si>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</si>
  <si>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</si>
  <si>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</si>
  <si>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</si>
  <si>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</si>
  <si>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</si>
  <si>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</si>
  <si>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</si>
  <si>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</si>
  <si>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</si>
  <si>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</si>
  <si>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</si>
  <si>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</si>
  <si>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</si>
  <si>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</si>
  <si>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</si>
  <si>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</si>
  <si>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</si>
  <si>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</si>
  <si>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</si>
  <si>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</si>
  <si>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</si>
  <si>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</si>
  <si>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</si>
  <si>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</si>
  <si>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</si>
  <si>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</si>
  <si>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</si>
  <si>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</si>
  <si>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</si>
  <si>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</si>
  <si>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</si>
  <si>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</si>
  <si>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</si>
  <si>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</si>
  <si>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</si>
  <si>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</si>
  <si>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</si>
  <si>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</si>
  <si>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</si>
  <si>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</si>
  <si>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</si>
  <si>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</si>
  <si>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</si>
  <si>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</si>
  <si>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</si>
  <si>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</si>
  <si>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</si>
  <si>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</si>
  <si>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</si>
  <si>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</si>
  <si>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</si>
  <si>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</si>
  <si>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</si>
  <si>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</si>
  <si>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</si>
  <si>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</si>
  <si>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</si>
  <si>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</si>
  <si>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</si>
  <si>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</si>
  <si>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</si>
  <si>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</si>
  <si>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</si>
  <si>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</si>
  <si>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</si>
  <si>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</si>
  <si>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</si>
  <si>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</si>
  <si>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</si>
  <si>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</si>
  <si>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</si>
  <si>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</si>
  <si>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</si>
  <si>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</si>
  <si>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</si>
  <si>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</si>
  <si>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</si>
  <si>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</si>
  <si>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</si>
  <si>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</si>
  <si>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</si>
  <si>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</si>
  <si>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</si>
  <si>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</si>
  <si>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</si>
  <si>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</si>
  <si>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</si>
  <si>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</si>
  <si>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</si>
  <si>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</si>
  <si>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</si>
  <si>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</si>
  <si>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</si>
  <si>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</si>
  <si>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</si>
  <si>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</si>
  <si>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</si>
  <si>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</si>
  <si>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</si>
  <si>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</si>
  <si>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</si>
  <si>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</si>
  <si>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</si>
  <si>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</si>
  <si>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</si>
  <si>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</si>
  <si>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</si>
  <si>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</si>
  <si>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</si>
  <si>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</si>
  <si>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</si>
  <si>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</si>
  <si>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</si>
  <si>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</si>
  <si>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</si>
  <si>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</si>
  <si>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</si>
  <si>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</si>
  <si>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</si>
  <si>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</si>
  <si>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</si>
  <si>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</si>
  <si>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</si>
  <si>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</si>
  <si>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</si>
  <si>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</si>
  <si>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</si>
  <si>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</si>
  <si>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</si>
  <si>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</si>
  <si>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</si>
  <si>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</si>
  <si>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</si>
  <si>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</si>
  <si>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</si>
  <si>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</si>
  <si>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</si>
  <si>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</si>
  <si>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</si>
  <si>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</si>
  <si>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</si>
  <si>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</si>
  <si>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</si>
  <si>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</si>
  <si>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</si>
  <si>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</si>
  <si>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</si>
  <si>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</si>
  <si>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</si>
  <si>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</si>
  <si>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</si>
  <si>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</si>
  <si>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</si>
  <si>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</si>
  <si>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</si>
  <si>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</si>
  <si>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</si>
  <si>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</si>
  <si>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</si>
  <si>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</si>
  <si>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</si>
  <si>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</si>
  <si>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</si>
  <si>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</si>
  <si>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</si>
  <si>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</si>
  <si>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</si>
  <si>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</si>
  <si>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</si>
  <si>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</si>
  <si>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</si>
  <si>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</si>
  <si>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</si>
  <si>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</si>
  <si>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</si>
  <si>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</si>
  <si>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</si>
  <si>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</si>
  <si>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</si>
  <si>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</si>
  <si>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</si>
  <si>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</si>
  <si>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</si>
  <si>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</si>
  <si>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</si>
  <si>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</si>
  <si>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</si>
  <si>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</si>
  <si>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</si>
  <si>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</si>
  <si>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</si>
  <si>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</si>
  <si>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</si>
  <si>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</si>
  <si>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</si>
  <si>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</si>
  <si>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</si>
  <si>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</si>
  <si>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</si>
  <si>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</si>
  <si>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</si>
  <si>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</si>
  <si>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</si>
  <si>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</si>
  <si>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</si>
  <si>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</si>
  <si>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</si>
  <si>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</si>
  <si>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</si>
  <si>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</si>
  <si>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</si>
  <si>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</si>
  <si>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</si>
  <si>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</si>
  <si>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</si>
  <si>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</si>
  <si>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</si>
  <si>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</si>
  <si>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</si>
  <si>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</si>
  <si>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</si>
  <si>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</si>
  <si>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</si>
  <si>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</si>
  <si>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</si>
  <si>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</si>
  <si>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</si>
  <si>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</si>
  <si>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</si>
  <si>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</si>
  <si>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</si>
  <si>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</si>
  <si>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</si>
  <si>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</si>
  <si>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</si>
  <si>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</si>
  <si>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</si>
  <si>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</si>
  <si>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</si>
  <si>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</si>
  <si>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</si>
  <si>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</si>
  <si>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</si>
  <si>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</si>
  <si>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</si>
  <si>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</si>
  <si>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</si>
  <si>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</si>
  <si>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</si>
  <si>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</si>
  <si>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</si>
  <si>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</si>
  <si>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</si>
  <si>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</si>
  <si>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</si>
  <si>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</si>
  <si>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</si>
  <si>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</si>
  <si>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</si>
  <si>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</si>
  <si>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</si>
  <si>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</si>
  <si>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</si>
  <si>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</si>
  <si>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</si>
  <si>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</si>
  <si>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</si>
  <si>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</si>
  <si>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</si>
  <si>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</si>
  <si>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</si>
  <si>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</si>
  <si>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</si>
  <si>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</si>
  <si>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</si>
  <si>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</si>
  <si>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</si>
  <si>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</si>
  <si>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</si>
  <si>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</si>
  <si>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</si>
  <si>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</si>
  <si>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</si>
  <si>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</si>
  <si>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</si>
  <si>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</si>
  <si>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</si>
  <si>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</si>
  <si>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</si>
  <si>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</si>
  <si>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</si>
  <si>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</si>
  <si>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</si>
  <si>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</si>
  <si>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</si>
  <si>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</si>
  <si>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</si>
  <si>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</si>
  <si>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</si>
  <si>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</si>
  <si>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</si>
  <si>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</si>
  <si>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</si>
  <si>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</si>
  <si>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</si>
  <si>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</si>
  <si>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</si>
  <si>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</si>
  <si>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</si>
  <si>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</si>
  <si>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</si>
  <si>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</si>
  <si>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</si>
  <si>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</si>
  <si>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</si>
  <si>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</si>
  <si>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</si>
  <si>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</si>
  <si>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</si>
  <si>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</si>
  <si>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</si>
  <si>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</si>
  <si>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</si>
  <si>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</si>
  <si>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</si>
  <si>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</si>
  <si>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</si>
  <si>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</si>
  <si>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</si>
  <si>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</si>
  <si>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</si>
  <si>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</si>
  <si>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</si>
  <si>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</si>
  <si>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</si>
  <si>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</si>
  <si>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</si>
  <si>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</si>
  <si>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</si>
  <si>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</si>
  <si>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</si>
  <si>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</si>
  <si>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</si>
  <si>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</si>
  <si>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</si>
  <si>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</si>
  <si>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</si>
  <si>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</si>
  <si>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</si>
  <si>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</si>
  <si>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</si>
  <si>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</si>
  <si>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</si>
  <si>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</si>
  <si>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</si>
  <si>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</si>
  <si>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</si>
  <si>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</si>
  <si>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</si>
  <si>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</si>
  <si>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</si>
  <si>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</si>
  <si>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</si>
  <si>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</si>
  <si>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</si>
  <si>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</si>
  <si>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</si>
  <si>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</si>
  <si>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</si>
  <si>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</si>
  <si>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</si>
  <si>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</si>
  <si>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</si>
  <si>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</si>
  <si>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</si>
  <si>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</si>
  <si>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</si>
  <si>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</si>
  <si>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</si>
  <si>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</si>
  <si>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</si>
  <si>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</si>
  <si>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</si>
  <si>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</si>
  <si>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</si>
  <si>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</si>
  <si>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</si>
  <si>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</si>
  <si>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</si>
  <si>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</si>
  <si>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</si>
  <si>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</si>
  <si>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</si>
  <si>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</si>
  <si>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</si>
  <si>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</si>
  <si>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</si>
  <si>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</si>
  <si>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</si>
  <si>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</si>
  <si>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</si>
  <si>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</si>
  <si>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</si>
  <si>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</si>
  <si>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</si>
  <si>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</si>
  <si>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</si>
  <si>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</si>
  <si>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</si>
  <si>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</si>
  <si>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</si>
  <si>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</si>
  <si>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</si>
  <si>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</si>
  <si>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</si>
  <si>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</si>
  <si>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</si>
  <si>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</si>
  <si>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</si>
  <si>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</si>
  <si>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</si>
  <si>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</si>
  <si>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</si>
  <si>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</si>
  <si>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</si>
  <si>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</si>
  <si>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</si>
  <si>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</si>
  <si>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</si>
  <si>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</si>
  <si>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</si>
  <si>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</si>
  <si>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</si>
  <si>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</si>
  <si>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</si>
  <si>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</si>
  <si>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</si>
  <si>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</si>
  <si>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</si>
  <si>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</si>
  <si>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</si>
  <si>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</si>
  <si>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</si>
  <si>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</si>
  <si>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</si>
  <si>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</si>
  <si>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</si>
  <si>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</si>
  <si>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</si>
  <si>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</si>
  <si>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</si>
  <si>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</si>
  <si>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</si>
  <si>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</si>
  <si>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</si>
  <si>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</si>
  <si>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</si>
  <si>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</si>
  <si>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</si>
  <si>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</si>
  <si>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</si>
  <si>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</si>
  <si>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</si>
  <si>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</si>
  <si>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</si>
  <si>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</si>
  <si>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</si>
  <si>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</si>
  <si>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</si>
  <si>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</si>
  <si>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</si>
  <si>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</si>
  <si>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</si>
  <si>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</si>
  <si>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</si>
  <si>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</si>
  <si>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</si>
  <si>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</si>
  <si>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</si>
  <si>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</si>
  <si>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</si>
  <si>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</si>
  <si>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</si>
  <si>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</si>
  <si>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</si>
  <si>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</si>
  <si>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</si>
  <si>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</si>
  <si>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</si>
  <si>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</si>
  <si>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</si>
  <si>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</si>
  <si>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</si>
  <si>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</si>
  <si>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</si>
  <si>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</si>
  <si>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</si>
  <si>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</si>
  <si>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</si>
  <si>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</si>
  <si>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</si>
  <si>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</si>
  <si>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</si>
  <si>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</si>
  <si>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</si>
  <si>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</si>
  <si>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</si>
  <si>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</si>
  <si>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</si>
  <si>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</si>
  <si>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</si>
  <si>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</si>
  <si>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</si>
  <si>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</si>
  <si>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</si>
  <si>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</si>
  <si>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</si>
  <si>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</si>
  <si>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</si>
  <si>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</si>
  <si>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</si>
  <si>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</si>
  <si>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</si>
  <si>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</si>
  <si>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</si>
  <si>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</si>
  <si>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</si>
  <si>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</si>
  <si>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</si>
  <si>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</si>
  <si>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</si>
  <si>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</si>
  <si>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</si>
  <si>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</si>
  <si>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</si>
  <si>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</si>
  <si>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</si>
  <si>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</si>
  <si>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</si>
  <si>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</si>
  <si>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</si>
  <si>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</si>
  <si>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</si>
  <si>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</si>
  <si>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</si>
  <si>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</si>
  <si>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</si>
  <si>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</si>
  <si>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</si>
  <si>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</si>
  <si>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</si>
  <si>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</si>
  <si>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</si>
  <si>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</si>
  <si>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</si>
  <si>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</si>
  <si>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</si>
  <si>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</si>
  <si>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</si>
  <si>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</si>
  <si>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</si>
  <si>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</si>
  <si>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</si>
  <si>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</si>
  <si>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</si>
  <si>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</si>
  <si>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</si>
  <si>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</si>
  <si>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</si>
  <si>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</si>
  <si>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</si>
  <si>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</si>
  <si>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</si>
  <si>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</si>
  <si>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</si>
  <si>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</si>
  <si>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</si>
  <si>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</si>
  <si>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</si>
  <si>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</si>
  <si>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</si>
  <si>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</si>
  <si>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</si>
  <si>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</si>
  <si>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</si>
  <si>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</si>
  <si>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</si>
  <si>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</si>
  <si>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</si>
  <si>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</si>
  <si>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</si>
  <si>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</si>
  <si>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</si>
  <si>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</si>
  <si>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</si>
  <si>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</si>
  <si>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</si>
  <si>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</si>
  <si>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</si>
  <si>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</si>
  <si>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</si>
  <si>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</si>
  <si>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</si>
  <si>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</si>
  <si>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</si>
  <si>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</si>
  <si>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</si>
  <si>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</si>
  <si>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</si>
  <si>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</si>
  <si>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</si>
  <si>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</si>
  <si>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</si>
  <si>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</si>
  <si>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</si>
  <si>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</si>
  <si>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</si>
  <si>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</si>
  <si>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</si>
  <si>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</si>
  <si>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</si>
  <si>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</si>
  <si>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</si>
  <si>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</si>
  <si>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</si>
  <si>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</si>
  <si>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</si>
  <si>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</si>
  <si>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</si>
  <si>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</si>
  <si>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</si>
  <si>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</si>
  <si>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</si>
  <si>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</si>
  <si>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</si>
  <si>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</si>
  <si>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</si>
  <si>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</si>
  <si>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</si>
  <si>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</si>
  <si>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</si>
  <si>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</si>
  <si>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</si>
  <si>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</si>
  <si>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</si>
  <si>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</si>
  <si>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</si>
  <si>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</si>
  <si>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</si>
  <si>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</si>
  <si>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</si>
  <si>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</si>
  <si>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</si>
  <si>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</si>
  <si>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</si>
  <si>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</si>
  <si>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</si>
  <si>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</si>
  <si>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</si>
  <si>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</si>
  <si>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</si>
  <si>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</si>
  <si>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</si>
  <si>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</si>
  <si>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</si>
  <si>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</si>
  <si>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</si>
  <si>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</si>
  <si>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</si>
  <si>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</si>
  <si>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</si>
  <si>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</si>
  <si>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</si>
  <si>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</si>
  <si>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</si>
  <si>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</si>
  <si>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</si>
  <si>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</si>
  <si>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</si>
  <si>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</si>
  <si>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</si>
  <si>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</si>
  <si>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</si>
  <si>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</si>
  <si>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</si>
  <si>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</si>
  <si>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</si>
  <si>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</si>
  <si>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</si>
  <si>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</si>
  <si>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</si>
  <si>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</si>
  <si>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</si>
  <si>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</si>
  <si>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</si>
  <si>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</si>
  <si>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</si>
  <si>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</si>
  <si>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</si>
  <si>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</si>
  <si>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</si>
  <si>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</si>
  <si>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</si>
  <si>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</si>
  <si>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</si>
  <si>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</si>
  <si>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</si>
  <si>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</si>
  <si>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</si>
  <si>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</si>
  <si>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</si>
  <si>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</si>
  <si>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</si>
  <si>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</si>
  <si>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</si>
  <si>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</si>
  <si>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</si>
  <si>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</si>
  <si>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</si>
  <si>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</si>
  <si>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</si>
  <si>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</si>
  <si>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</si>
  <si>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</si>
  <si>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</si>
  <si>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</si>
  <si>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</si>
  <si>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</si>
  <si>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</si>
  <si>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</si>
  <si>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</si>
  <si>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</si>
  <si>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</si>
  <si>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</si>
  <si>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</si>
  <si>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</si>
  <si>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</si>
  <si>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</si>
  <si>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</si>
  <si>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</si>
  <si>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</si>
  <si>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</si>
  <si>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</si>
  <si>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</si>
  <si>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</si>
  <si>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</si>
  <si>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</si>
  <si>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</si>
  <si>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</si>
  <si>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</si>
  <si>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</si>
  <si>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</si>
  <si>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</si>
  <si>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</si>
  <si>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</si>
  <si>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</si>
  <si>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</si>
  <si>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</si>
  <si>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</si>
  <si>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</si>
  <si>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</si>
  <si>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</si>
  <si>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</si>
  <si>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</si>
  <si>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</si>
  <si>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</si>
  <si>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</si>
  <si>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</si>
  <si>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</si>
  <si>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</si>
  <si>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</si>
  <si>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</si>
  <si>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</si>
  <si>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</si>
  <si>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</si>
  <si>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</si>
  <si>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</si>
  <si>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</si>
  <si>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</si>
  <si>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</si>
  <si>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</si>
  <si>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</si>
  <si>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</si>
  <si>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</si>
  <si>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</si>
  <si>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</si>
  <si>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</si>
  <si>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</si>
  <si>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</si>
  <si>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</si>
  <si>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</si>
  <si>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</si>
  <si>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</si>
  <si>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</si>
  <si>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</si>
  <si>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</si>
  <si>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</si>
  <si>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</si>
  <si>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</si>
  <si>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</si>
  <si>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</si>
  <si>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</si>
  <si>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</si>
  <si>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</si>
  <si>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</si>
  <si>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</si>
  <si>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</si>
  <si>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</si>
  <si>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</si>
  <si>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</si>
  <si>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</si>
  <si>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</si>
  <si>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</si>
  <si>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</si>
  <si>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</si>
  <si>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</si>
  <si>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</si>
  <si>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</si>
  <si>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</si>
  <si>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</si>
  <si>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</si>
  <si>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</si>
  <si>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</si>
  <si>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</si>
  <si>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</si>
  <si>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</si>
  <si>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</si>
  <si>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</si>
  <si>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</si>
  <si>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</si>
  <si>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</si>
  <si>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</si>
  <si>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</si>
  <si>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</si>
  <si>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</si>
  <si>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</si>
  <si>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</si>
  <si>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</si>
  <si>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</si>
  <si>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</si>
  <si>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</si>
  <si>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</si>
  <si>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</si>
  <si>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</si>
  <si>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</si>
  <si>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</si>
  <si>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</si>
  <si>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</si>
  <si>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</si>
  <si>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</si>
  <si>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</si>
  <si>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</si>
  <si>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</si>
  <si>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</si>
  <si>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</si>
  <si>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</si>
  <si>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</si>
  <si>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</si>
  <si>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</si>
  <si>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</si>
  <si>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</si>
  <si>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</si>
  <si>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</si>
  <si>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</si>
  <si>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</si>
  <si>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</si>
  <si>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</si>
  <si>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</si>
  <si>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</si>
  <si>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</si>
  <si>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</si>
  <si>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</si>
  <si>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</si>
  <si>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</si>
  <si>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</si>
  <si>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</si>
  <si>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</si>
  <si>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</si>
  <si>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</si>
  <si>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</si>
  <si>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</si>
  <si>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</si>
  <si>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</si>
  <si>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</si>
  <si>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</si>
  <si>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</si>
  <si>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</si>
  <si>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</si>
  <si>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</si>
  <si>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</si>
  <si>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</si>
  <si>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</si>
  <si>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</si>
  <si>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</si>
  <si>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</si>
  <si>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</si>
  <si>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</si>
  <si>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</si>
  <si>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</si>
  <si>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</si>
  <si>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</si>
  <si>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</si>
  <si>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</si>
  <si>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</si>
  <si>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</si>
  <si>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</si>
  <si>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</si>
  <si>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</si>
  <si>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</si>
  <si>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</si>
  <si>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</si>
  <si>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</si>
  <si>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</si>
  <si>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</si>
  <si>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</si>
  <si>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</si>
  <si>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</si>
  <si>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</si>
  <si>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</si>
  <si>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</si>
  <si>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</si>
  <si>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</si>
  <si>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</si>
  <si>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</si>
  <si>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</si>
  <si>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</si>
  <si>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</si>
  <si>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</si>
  <si>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</si>
  <si>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</si>
  <si>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</si>
  <si>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</si>
  <si>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</si>
  <si>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</si>
  <si>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</si>
  <si>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</si>
  <si>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</si>
  <si>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</si>
  <si>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</si>
  <si>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</si>
  <si>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</si>
  <si>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</si>
  <si>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</si>
  <si>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</si>
  <si>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</si>
  <si>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</si>
  <si>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</si>
  <si>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</si>
  <si>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</si>
  <si>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</si>
  <si>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</si>
  <si>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</si>
  <si>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</si>
  <si>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</si>
  <si>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</si>
  <si>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</si>
  <si>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</si>
  <si>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</si>
  <si>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</si>
  <si>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</si>
  <si>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</si>
  <si>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</si>
  <si>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</si>
  <si>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</si>
  <si>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</si>
  <si>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</si>
  <si>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</si>
  <si>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</si>
  <si>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</si>
  <si>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</si>
  <si>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</si>
  <si>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</si>
  <si>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</si>
  <si>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</si>
  <si>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</si>
  <si>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</si>
  <si>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</si>
  <si>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</si>
  <si>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</si>
  <si>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</si>
  <si>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</si>
  <si>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</si>
  <si>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</si>
  <si>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</si>
  <si>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</si>
  <si>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</si>
  <si>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</si>
  <si>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</si>
  <si>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</si>
  <si>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</si>
  <si>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</si>
  <si>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</si>
  <si>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</si>
  <si>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</si>
  <si>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</si>
  <si>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</si>
  <si>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</si>
  <si>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</si>
  <si>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</si>
  <si>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</si>
  <si>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</si>
  <si>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</si>
  <si>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</si>
  <si>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</si>
  <si>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</si>
  <si>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</si>
  <si>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</si>
  <si>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</si>
  <si>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</si>
  <si>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</si>
  <si>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</si>
  <si>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</si>
  <si>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</si>
  <si>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</si>
  <si>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</si>
  <si>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</si>
  <si>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</si>
  <si>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</si>
  <si>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</si>
  <si>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</si>
  <si>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</si>
  <si>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</si>
  <si>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</si>
  <si>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</si>
  <si>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</si>
  <si>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</si>
  <si>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</si>
  <si>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</si>
  <si>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</si>
  <si>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</si>
  <si>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</si>
  <si>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</si>
  <si>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</si>
  <si>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</si>
  <si>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</si>
  <si>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</si>
  <si>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</si>
  <si>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</si>
  <si>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</si>
  <si>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</si>
  <si>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</si>
  <si>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</si>
  <si>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</si>
  <si>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</si>
  <si>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</si>
  <si>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</si>
  <si>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</si>
  <si>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</si>
  <si>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</si>
  <si>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</si>
  <si>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</si>
  <si>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</si>
  <si>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</si>
  <si>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</si>
  <si>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</si>
  <si>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</si>
  <si>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</si>
  <si>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</si>
  <si>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</si>
  <si>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</si>
  <si>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</si>
  <si>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</si>
  <si>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</si>
  <si>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</si>
  <si>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</si>
  <si>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</si>
  <si>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</si>
  <si>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</si>
  <si>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</si>
  <si>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</si>
  <si>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</si>
  <si>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</si>
  <si>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</si>
  <si>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</si>
  <si>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</si>
  <si>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</si>
  <si>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</si>
  <si>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</si>
  <si>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</si>
  <si>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</si>
  <si>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</si>
  <si>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</si>
  <si>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</si>
  <si>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</si>
  <si>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</si>
  <si>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</si>
  <si>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</si>
  <si>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</si>
  <si>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</si>
  <si>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</si>
  <si>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</si>
  <si>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</si>
  <si>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</si>
  <si>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</si>
  <si>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</si>
  <si>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</si>
  <si>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</si>
  <si>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</si>
  <si>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</si>
  <si>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</si>
  <si>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</si>
  <si>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</si>
  <si>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</si>
  <si>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</si>
  <si>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</si>
  <si>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</si>
  <si>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</si>
  <si>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</si>
  <si>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</si>
  <si>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</si>
  <si>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</si>
  <si>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</si>
  <si>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</si>
  <si>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</si>
  <si>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</si>
  <si>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</si>
  <si>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</si>
  <si>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</si>
  <si>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</si>
  <si>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</si>
  <si>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</si>
  <si>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</si>
  <si>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</si>
  <si>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</si>
  <si>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</si>
  <si>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</si>
  <si>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</si>
  <si>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</si>
  <si>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</si>
  <si>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</si>
  <si>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</si>
  <si>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</si>
  <si>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</si>
  <si>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</si>
  <si>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</si>
  <si>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</si>
  <si>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</si>
  <si>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</si>
  <si>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</si>
  <si>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</si>
  <si>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</si>
  <si>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</si>
  <si>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</si>
  <si>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</si>
  <si>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</si>
  <si>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</si>
  <si>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</si>
  <si>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</si>
  <si>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</si>
  <si>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</si>
  <si>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</si>
  <si>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</si>
  <si>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</si>
  <si>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</si>
  <si>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</si>
  <si>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</si>
  <si>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</si>
  <si>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</si>
  <si>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</si>
  <si>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</si>
  <si>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</si>
  <si>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</si>
  <si>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</si>
  <si>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</si>
  <si>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</si>
  <si>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</si>
  <si>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</si>
  <si>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</si>
  <si>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</si>
  <si>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</si>
  <si>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</si>
  <si>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</si>
  <si>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</si>
  <si>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</si>
  <si>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</si>
  <si>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</si>
  <si>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</si>
  <si>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</si>
  <si>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</si>
  <si>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</si>
  <si>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</si>
  <si>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</si>
  <si>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</si>
  <si>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</si>
  <si>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</si>
  <si>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</si>
  <si>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</si>
  <si>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</si>
  <si>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</si>
  <si>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</si>
  <si>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</si>
  <si>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</si>
  <si>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</si>
  <si>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</si>
  <si>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</si>
  <si>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</si>
  <si>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</si>
  <si>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</si>
  <si>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</si>
  <si>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</si>
  <si>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</si>
  <si>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</si>
  <si>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</si>
  <si>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</si>
  <si>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</si>
  <si>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</si>
  <si>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</si>
  <si>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</si>
  <si>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</si>
  <si>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</si>
  <si>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</si>
  <si>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</si>
  <si>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</si>
  <si>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</si>
  <si>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</si>
  <si>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</si>
  <si>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</si>
  <si>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</si>
  <si>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</si>
  <si>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</si>
  <si>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</si>
  <si>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</si>
  <si>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</si>
  <si>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</si>
  <si>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</si>
  <si>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</si>
  <si>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</si>
  <si>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</si>
  <si>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</si>
  <si>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</si>
  <si>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</si>
  <si>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</si>
  <si>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</si>
  <si>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</si>
  <si>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</si>
  <si>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</si>
  <si>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</si>
  <si>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</si>
  <si>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</si>
  <si>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</si>
  <si>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</si>
  <si>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</si>
  <si>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</si>
  <si>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</si>
  <si>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</si>
  <si>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</si>
  <si>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</si>
  <si>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</si>
  <si>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</si>
  <si>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</si>
  <si>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</si>
  <si>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</si>
  <si>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</si>
  <si>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</si>
  <si>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</si>
  <si>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</si>
  <si>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</si>
  <si>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</si>
  <si>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</si>
  <si>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</si>
  <si>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</si>
  <si>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</si>
  <si>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</si>
  <si>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</si>
  <si>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</si>
  <si>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</si>
  <si>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</si>
  <si>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</si>
  <si>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</si>
  <si>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</si>
  <si>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</si>
  <si>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</si>
  <si>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</si>
  <si>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</si>
  <si>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</si>
  <si>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</si>
  <si>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</si>
  <si>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</si>
  <si>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</si>
  <si>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</si>
  <si>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</si>
  <si>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</si>
  <si>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</si>
  <si>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</si>
  <si>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</si>
  <si>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</si>
  <si>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</si>
  <si>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</si>
  <si>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</si>
  <si>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</si>
  <si>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Etykiety wierszy</t>
  </si>
  <si>
    <t>Suma końcowa</t>
  </si>
  <si>
    <t>Liczba z TX ID</t>
  </si>
  <si>
    <t>Suma z Quantity</t>
  </si>
  <si>
    <t>Suma z Amount</t>
  </si>
  <si>
    <t>Średnia z Rating C</t>
  </si>
  <si>
    <t>Średnia z Days to Deliver</t>
  </si>
  <si>
    <t>Values</t>
  </si>
  <si>
    <t>Order</t>
  </si>
  <si>
    <t>Quanity</t>
  </si>
  <si>
    <t>Avg. Rating</t>
  </si>
  <si>
    <t>Avg. Days</t>
  </si>
  <si>
    <t>Female</t>
  </si>
  <si>
    <t>Male</t>
  </si>
  <si>
    <t>Other</t>
  </si>
  <si>
    <t>Unknown</t>
  </si>
  <si>
    <t>Etykiety kolumn</t>
  </si>
  <si>
    <t>6 TO 10</t>
  </si>
  <si>
    <t>MORE THAN 10</t>
  </si>
  <si>
    <t>sty</t>
  </si>
  <si>
    <t>lut</t>
  </si>
  <si>
    <t>mar</t>
  </si>
  <si>
    <t>Amount ($)</t>
  </si>
  <si>
    <t>Quantity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</si>
</sst>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0.0%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/>
    <xf numFmtId="0" fontId="1" fillId="2" borderId="9" xfId="0" applyFont="1" applyFill="1" applyBorder="1"/>
    <xf numFmtId="10" fontId="0" fillId="0" borderId="0" xfId="0" applyNumberFormat="1"/>
    <xf numFmtId="165" fontId="0" fillId="0" borderId="0" xfId="0" applyNumberFormat="1"/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/>
    <xf numFmtId="0" fontId="1" fillId="0" borderId="9" xfId="0" applyFont="1" applyBorder="1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166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0" fillId="3" borderId="0" xfId="0" applyFill="1"/>
    <xf numFmtId="0" fontId="0" fillId="0" borderId="0" xfId="0" applyNumberFormat="1"/>
  </cellXfs>
  <cellStyles count="1">
    <cellStyle name="Normalny" xfId="0" builtinId="0"/>
  </cellStyles>
  <dxfs count="1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2" tint="-0.499984740745262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\-mmm\-yy"/>
    </dxf>
    <dxf>
      <numFmt numFmtId="167" formatCode="d\-mmm\-yy"/>
    </dxf>
  </dxfs>
  <tableStyles count="0" defaultTableStyle="TableStyleMedium2" defaultPivotStyle="PivotStyleLight16"/>
  <colors>
    <mruColors>
      <color rgb="FFFD21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[p3.xlsx]Pivots!Tabela przestawna2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0389752165935"/>
          <c:y val="6.9444444444444448E-2"/>
          <c:w val="0.73835296030474062"/>
          <c:h val="0.8416746864975212"/>
        </c:manualLayout>
      </c:layout>
      <c:lineChart>
        <c:grouping val="stacked"/>
        <c:varyColors val="0"/>
        <c:ser>
          <c:idx val="1"/>
          <c:order val="1"/>
          <c:tx>
            <c:strRef>
              <c:f>Pivots!$C$9</c:f>
              <c:strCache>
                <c:ptCount val="1"/>
                <c:pt idx="0">
                  <c:v>Amount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Pivots!$A$10:$A$23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Pivots!$C$10:$C$23</c:f>
              <c:numCache>
                <c:formatCode>[$$-409]#\ ##0.00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62-4957-AC47-BE2842A81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686607"/>
        <c:axId val="301886735"/>
      </c:lineChart>
      <c:lineChart>
        <c:grouping val="stacked"/>
        <c:varyColors val="0"/>
        <c:ser>
          <c:idx val="0"/>
          <c:order val="0"/>
          <c:tx>
            <c:strRef>
              <c:f>Pivots!$B$9</c:f>
              <c:strCache>
                <c:ptCount val="1"/>
                <c:pt idx="0">
                  <c:v>Quantity (Units)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Pivots!$A$10:$A$23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Pivots!$B$10:$B$23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2-4957-AC47-BE2842A81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230687"/>
        <c:axId val="494228767"/>
      </c:lineChart>
      <c:catAx>
        <c:axId val="48668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1886735"/>
        <c:crosses val="autoZero"/>
        <c:auto val="1"/>
        <c:lblAlgn val="ctr"/>
        <c:lblOffset val="100"/>
        <c:noMultiLvlLbl val="0"/>
      </c:catAx>
      <c:valAx>
        <c:axId val="30188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6686607"/>
        <c:crosses val="autoZero"/>
        <c:crossBetween val="between"/>
      </c:valAx>
      <c:valAx>
        <c:axId val="4942287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4230687"/>
        <c:crosses val="max"/>
        <c:crossBetween val="between"/>
      </c:valAx>
      <c:catAx>
        <c:axId val="494230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42287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[p3.xlsx]Pivots!Tabela przestawna4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Pivots!$B$42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Pivots!$A$43:$A$50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 TO 10</c:v>
                </c:pt>
                <c:pt idx="6">
                  <c:v>MORE THAN 10</c:v>
                </c:pt>
              </c:strCache>
            </c:strRef>
          </c:cat>
          <c:val>
            <c:numRef>
              <c:f>Pivots!$B$43:$B$50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7-4F81-9592-CB63AF7C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927871"/>
        <c:axId val="1734928351"/>
      </c:barChart>
      <c:catAx>
        <c:axId val="173492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34928351"/>
        <c:crosses val="autoZero"/>
        <c:auto val="1"/>
        <c:lblAlgn val="ctr"/>
        <c:lblOffset val="100"/>
        <c:noMultiLvlLbl val="0"/>
      </c:catAx>
      <c:valAx>
        <c:axId val="173492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3492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[p3.xlsx]Pivots!Tabela przestawna5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/>
          </a:solidFill>
          <a:ln>
            <a:noFill/>
          </a:ln>
          <a:effectLst/>
        </c:spPr>
      </c:pivotFmt>
      <c:pivotFmt>
        <c:idx val="9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Pivots!$B$56:$B$57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Pivots!$A$58:$A$78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Pivots!$B$58:$B$78</c:f>
              <c:numCache>
                <c:formatCode>General</c:formatCode>
                <c:ptCount val="2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146</c:v>
                </c:pt>
                <c:pt idx="14">
                  <c:v>127</c:v>
                </c:pt>
                <c:pt idx="15">
                  <c:v>179</c:v>
                </c:pt>
                <c:pt idx="16">
                  <c:v>99</c:v>
                </c:pt>
                <c:pt idx="17">
                  <c:v>75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5-48E2-9F88-F43468C566AC}"/>
            </c:ext>
          </c:extLst>
        </c:ser>
        <c:ser>
          <c:idx val="1"/>
          <c:order val="1"/>
          <c:tx>
            <c:strRef>
              <c:f>Pivots!$C$56:$C$57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Pivots!$A$58:$A$78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Pivots!$C$58:$C$78</c:f>
              <c:numCache>
                <c:formatCode>General</c:formatCode>
                <c:ptCount val="2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94</c:v>
                </c:pt>
                <c:pt idx="14">
                  <c:v>118</c:v>
                </c:pt>
                <c:pt idx="15">
                  <c:v>76</c:v>
                </c:pt>
                <c:pt idx="16">
                  <c:v>69</c:v>
                </c:pt>
                <c:pt idx="17">
                  <c:v>103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F5-48E2-9F88-F43468C566AC}"/>
            </c:ext>
          </c:extLst>
        </c:ser>
        <c:ser>
          <c:idx val="2"/>
          <c:order val="2"/>
          <c:tx>
            <c:strRef>
              <c:f>Pivots!$D$56:$D$57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Pivots!$A$58:$A$78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Pivots!$D$58:$D$78</c:f>
              <c:numCache>
                <c:formatCode>General</c:formatCode>
                <c:ptCount val="2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4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F5-48E2-9F88-F43468C566AC}"/>
            </c:ext>
          </c:extLst>
        </c:ser>
        <c:ser>
          <c:idx val="3"/>
          <c:order val="3"/>
          <c:tx>
            <c:strRef>
              <c:f>Pivots!$E$56:$E$57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Pivots!$A$58:$A$78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Pivots!$E$58:$E$78</c:f>
              <c:numCache>
                <c:formatCode>General</c:formatCode>
                <c:ptCount val="20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  <c:pt idx="10">
                  <c:v>8</c:v>
                </c:pt>
                <c:pt idx="11">
                  <c:v>31</c:v>
                </c:pt>
                <c:pt idx="12">
                  <c:v>24</c:v>
                </c:pt>
                <c:pt idx="13">
                  <c:v>28</c:v>
                </c:pt>
                <c:pt idx="14">
                  <c:v>12</c:v>
                </c:pt>
                <c:pt idx="16">
                  <c:v>24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01-43A0-B734-CF7756795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48255"/>
        <c:axId val="205453535"/>
      </c:barChart>
      <c:catAx>
        <c:axId val="2054482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453535"/>
        <c:crosses val="autoZero"/>
        <c:auto val="1"/>
        <c:lblAlgn val="ctr"/>
        <c:lblOffset val="100"/>
        <c:noMultiLvlLbl val="0"/>
      </c:catAx>
      <c:valAx>
        <c:axId val="2054535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44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58223480491906"/>
          <c:y val="0.19995318290914973"/>
          <c:w val="0.63497494631352902"/>
          <c:h val="0.7675521329064636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80-467C-8D0B-98F7E417CB15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80-467C-8D0B-98F7E417CB15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80-467C-8D0B-98F7E417CB15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80-467C-8D0B-98F7E417CB15}"/>
              </c:ext>
            </c:extLst>
          </c:dPt>
          <c:dLbls>
            <c:dLbl>
              <c:idx val="0"/>
              <c:layout>
                <c:manualLayout>
                  <c:x val="9.7613809509766336E-2"/>
                  <c:y val="0.2809633269470535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6561"/>
                        <a:gd name="adj2" fmla="val -79484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3780-467C-8D0B-98F7E417CB15}"/>
                </c:ext>
              </c:extLst>
            </c:dLbl>
            <c:dLbl>
              <c:idx val="1"/>
              <c:layout>
                <c:manualLayout>
                  <c:x val="-0.16565656565656567"/>
                  <c:y val="-9.987515605493133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80-467C-8D0B-98F7E417CB15}"/>
                </c:ext>
              </c:extLst>
            </c:dLbl>
            <c:dLbl>
              <c:idx val="2"/>
              <c:layout>
                <c:manualLayout>
                  <c:x val="-0.23534204291879246"/>
                  <c:y val="-8.40577759068801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80-467C-8D0B-98F7E417CB15}"/>
                </c:ext>
              </c:extLst>
            </c:dLbl>
            <c:dLbl>
              <c:idx val="3"/>
              <c:layout>
                <c:manualLayout>
                  <c:x val="0.32740590010518328"/>
                  <c:y val="-0.15614730505353325"/>
                </c:manualLayout>
              </c:layout>
              <c:spPr>
                <a:xfrm>
                  <a:off x="1674748" y="72977"/>
                  <a:ext cx="785799" cy="371685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03538"/>
                        <a:gd name="adj2" fmla="val 65693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0898381796763591"/>
                      <c:h val="0.186708661417322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780-467C-8D0B-98F7E417CB1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Pivots!$B$84:$E$84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Pivots!$B$85:$E$85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0-467C-8D0B-98F7E417CB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[p3.xlsx]Pivots!Tabela przestawna8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Pivots!$B$151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Pivots!$A$152:$A$167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Pivots!$B$152:$B$167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A-4F79-82A7-474872A7D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33375"/>
        <c:axId val="205455455"/>
      </c:barChart>
      <c:catAx>
        <c:axId val="20543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455455"/>
        <c:crosses val="autoZero"/>
        <c:auto val="1"/>
        <c:lblAlgn val="ctr"/>
        <c:lblOffset val="100"/>
        <c:noMultiLvlLbl val="0"/>
      </c:catAx>
      <c:valAx>
        <c:axId val="20545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43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[p3.xlsx]Pivots!Tabela przestawna9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Pivots!$B$171:$B$172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Pivots!$A$173:$A$176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Pivots!$B$173:$B$176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A-4FB0-983F-CF2B72C3B8B1}"/>
            </c:ext>
          </c:extLst>
        </c:ser>
        <c:ser>
          <c:idx val="1"/>
          <c:order val="1"/>
          <c:tx>
            <c:strRef>
              <c:f>Pivots!$C$171:$C$172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Pivots!$A$173:$A$176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Pivots!$C$173:$C$176</c:f>
              <c:numCache>
                <c:formatCode>General</c:formatCode>
                <c:ptCount val="3"/>
                <c:pt idx="0">
                  <c:v>37</c:v>
                </c:pt>
                <c:pt idx="1">
                  <c:v>51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A-4FB0-983F-CF2B72C3B8B1}"/>
            </c:ext>
          </c:extLst>
        </c:ser>
        <c:ser>
          <c:idx val="2"/>
          <c:order val="2"/>
          <c:tx>
            <c:strRef>
              <c:f>Pivots!$D$171:$D$172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Pivots!$A$173:$A$176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Pivots!$D$173:$D$176</c:f>
              <c:numCache>
                <c:formatCode>General</c:formatCode>
                <c:ptCount val="3"/>
                <c:pt idx="0">
                  <c:v>150</c:v>
                </c:pt>
                <c:pt idx="1">
                  <c:v>182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9A-4FB0-983F-CF2B72C3B8B1}"/>
            </c:ext>
          </c:extLst>
        </c:ser>
        <c:ser>
          <c:idx val="3"/>
          <c:order val="3"/>
          <c:tx>
            <c:strRef>
              <c:f>Pivots!$E$171:$E$172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Pivots!$A$173:$A$176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Pivots!$E$173:$E$176</c:f>
              <c:numCache>
                <c:formatCode>General</c:formatCode>
                <c:ptCount val="3"/>
                <c:pt idx="0">
                  <c:v>312</c:v>
                </c:pt>
                <c:pt idx="1">
                  <c:v>373</c:v>
                </c:pt>
                <c:pt idx="2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9A-4FB0-983F-CF2B72C3B8B1}"/>
            </c:ext>
          </c:extLst>
        </c:ser>
        <c:ser>
          <c:idx val="4"/>
          <c:order val="4"/>
          <c:tx>
            <c:strRef>
              <c:f>Pivots!$F$171:$F$172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Pivots!$A$173:$A$176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Pivots!$F$173:$F$176</c:f>
              <c:numCache>
                <c:formatCode>General</c:formatCode>
                <c:ptCount val="3"/>
                <c:pt idx="0">
                  <c:v>224</c:v>
                </c:pt>
                <c:pt idx="1">
                  <c:v>247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4-4894-AC46-65A661491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203519"/>
        <c:axId val="425196319"/>
      </c:barChart>
      <c:catAx>
        <c:axId val="42520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5196319"/>
        <c:crosses val="autoZero"/>
        <c:auto val="1"/>
        <c:lblAlgn val="ctr"/>
        <c:lblOffset val="100"/>
        <c:noMultiLvlLbl val="0"/>
      </c:catAx>
      <c:valAx>
        <c:axId val="42519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520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[p3.xlsx]Pivots!Tabela przestawna2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Last 13 Weeks: Quantity vs Amount Trend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76000"/>
              </a:schemeClr>
            </a:solidFill>
            <a:ln w="9525">
              <a:solidFill>
                <a:schemeClr val="accent5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1"/>
          <c:order val="1"/>
          <c:tx>
            <c:strRef>
              <c:f>Pivots!$C$9</c:f>
              <c:strCache>
                <c:ptCount val="1"/>
                <c:pt idx="0">
                  <c:v>Amount ($)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cat>
            <c:strRef>
              <c:f>Pivots!$A$10:$A$23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Pivots!$C$10:$C$23</c:f>
              <c:numCache>
                <c:formatCode>[$$-409]#\ ##0.00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D-4EFF-BEDA-A0574079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142336"/>
        <c:axId val="267137056"/>
      </c:areaChart>
      <c:lineChart>
        <c:grouping val="stacked"/>
        <c:varyColors val="0"/>
        <c:ser>
          <c:idx val="0"/>
          <c:order val="0"/>
          <c:tx>
            <c:strRef>
              <c:f>Pivots!$B$9</c:f>
              <c:strCache>
                <c:ptCount val="1"/>
                <c:pt idx="0">
                  <c:v>Quantity (Units)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cat>
            <c:strRef>
              <c:f>Pivots!$A$10:$A$23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Pivots!$B$10:$B$23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D-4EFF-BEDA-A0574079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686607"/>
        <c:axId val="301886735"/>
      </c:lineChart>
      <c:catAx>
        <c:axId val="48668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1886735"/>
        <c:crosses val="autoZero"/>
        <c:auto val="1"/>
        <c:lblAlgn val="ctr"/>
        <c:lblOffset val="100"/>
        <c:noMultiLvlLbl val="0"/>
      </c:catAx>
      <c:valAx>
        <c:axId val="30188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6686607"/>
        <c:crosses val="autoZero"/>
        <c:crossBetween val="between"/>
      </c:valAx>
      <c:valAx>
        <c:axId val="267137056"/>
        <c:scaling>
          <c:orientation val="minMax"/>
        </c:scaling>
        <c:delete val="0"/>
        <c:axPos val="r"/>
        <c:numFmt formatCode="[$$-409]#\ 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7142336"/>
        <c:crosses val="max"/>
        <c:crossBetween val="between"/>
      </c:valAx>
      <c:catAx>
        <c:axId val="267142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713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[p3.xlsx]Pivots!Tabela przestawna4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Quantity Purchased per Order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Pivots!$B$42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Pivots!$A$43:$A$50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 TO 10</c:v>
                </c:pt>
                <c:pt idx="6">
                  <c:v>MORE THAN 10</c:v>
                </c:pt>
              </c:strCache>
            </c:strRef>
          </c:cat>
          <c:val>
            <c:numRef>
              <c:f>Pivots!$B$43:$B$50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2-448F-AA08-F69C3AD5A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1734927871"/>
        <c:axId val="1734928351"/>
      </c:barChart>
      <c:catAx>
        <c:axId val="173492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34928351"/>
        <c:crosses val="autoZero"/>
        <c:auto val="1"/>
        <c:lblAlgn val="ctr"/>
        <c:lblOffset val="100"/>
        <c:noMultiLvlLbl val="0"/>
      </c:catAx>
      <c:valAx>
        <c:axId val="173492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3492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[p3.xlsx]Pivots!Tabela przestawna5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Product Popularity by Gender</a:t>
            </a:r>
            <a:endParaRPr lang="pl-PL"/>
          </a:p>
        </c:rich>
      </c:tx>
      <c:layout>
        <c:manualLayout>
          <c:xMode val="edge"/>
          <c:yMode val="edge"/>
          <c:x val="0.31126154685209806"/>
          <c:y val="2.0583190394511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81233352324466"/>
          <c:y val="0.1206857461856719"/>
          <c:w val="0.78742514328566071"/>
          <c:h val="0.809553265533060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Pivots!$B$56:$B$57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Pivots!$A$58:$A$78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Pivots!$B$58:$B$78</c:f>
              <c:numCache>
                <c:formatCode>General</c:formatCode>
                <c:ptCount val="2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146</c:v>
                </c:pt>
                <c:pt idx="14">
                  <c:v>127</c:v>
                </c:pt>
                <c:pt idx="15">
                  <c:v>179</c:v>
                </c:pt>
                <c:pt idx="16">
                  <c:v>99</c:v>
                </c:pt>
                <c:pt idx="17">
                  <c:v>75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C76-A612-34FFA8507795}"/>
            </c:ext>
          </c:extLst>
        </c:ser>
        <c:ser>
          <c:idx val="1"/>
          <c:order val="1"/>
          <c:tx>
            <c:strRef>
              <c:f>Pivots!$C$56:$C$57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Pivots!$A$58:$A$78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Pivots!$C$58:$C$78</c:f>
              <c:numCache>
                <c:formatCode>General</c:formatCode>
                <c:ptCount val="2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94</c:v>
                </c:pt>
                <c:pt idx="14">
                  <c:v>118</c:v>
                </c:pt>
                <c:pt idx="15">
                  <c:v>76</c:v>
                </c:pt>
                <c:pt idx="16">
                  <c:v>69</c:v>
                </c:pt>
                <c:pt idx="17">
                  <c:v>103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A-4C76-A612-34FFA8507795}"/>
            </c:ext>
          </c:extLst>
        </c:ser>
        <c:ser>
          <c:idx val="2"/>
          <c:order val="2"/>
          <c:tx>
            <c:strRef>
              <c:f>Pivots!$D$56:$D$57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Pivots!$A$58:$A$78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Pivots!$D$58:$D$78</c:f>
              <c:numCache>
                <c:formatCode>General</c:formatCode>
                <c:ptCount val="2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4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A-4C76-A612-34FFA8507795}"/>
            </c:ext>
          </c:extLst>
        </c:ser>
        <c:ser>
          <c:idx val="3"/>
          <c:order val="3"/>
          <c:tx>
            <c:strRef>
              <c:f>Pivots!$E$56:$E$57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Pivots!$A$58:$A$78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Pivots!$E$58:$E$78</c:f>
              <c:numCache>
                <c:formatCode>General</c:formatCode>
                <c:ptCount val="20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  <c:pt idx="10">
                  <c:v>8</c:v>
                </c:pt>
                <c:pt idx="11">
                  <c:v>31</c:v>
                </c:pt>
                <c:pt idx="12">
                  <c:v>24</c:v>
                </c:pt>
                <c:pt idx="13">
                  <c:v>28</c:v>
                </c:pt>
                <c:pt idx="14">
                  <c:v>12</c:v>
                </c:pt>
                <c:pt idx="16">
                  <c:v>24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35A-4C76-A612-34FFA8507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48255"/>
        <c:axId val="205453535"/>
      </c:barChart>
      <c:catAx>
        <c:axId val="2054482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453535"/>
        <c:crosses val="autoZero"/>
        <c:auto val="1"/>
        <c:lblAlgn val="ctr"/>
        <c:lblOffset val="100"/>
        <c:noMultiLvlLbl val="0"/>
      </c:catAx>
      <c:valAx>
        <c:axId val="2054535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44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58223480491906"/>
          <c:y val="0.19995318290914973"/>
          <c:w val="0.63497494631352902"/>
          <c:h val="0.76755213290646362"/>
        </c:manualLayout>
      </c:layout>
      <c:doughnutChart>
        <c:varyColors val="1"/>
        <c:ser>
          <c:idx val="0"/>
          <c:order val="0"/>
          <c:spPr>
            <a:solidFill>
              <a:schemeClr val="bg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53-4476-A40E-C88EE450FC41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53-4476-A40E-C88EE450FC41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53-4476-A40E-C88EE450FC41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53-4476-A40E-C88EE450FC41}"/>
              </c:ext>
            </c:extLst>
          </c:dPt>
          <c:dLbls>
            <c:dLbl>
              <c:idx val="0"/>
              <c:layout>
                <c:manualLayout>
                  <c:x val="9.7613809509766336E-2"/>
                  <c:y val="0.2809633269470535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6561"/>
                        <a:gd name="adj2" fmla="val -79484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C453-4476-A40E-C88EE450FC41}"/>
                </c:ext>
              </c:extLst>
            </c:dLbl>
            <c:dLbl>
              <c:idx val="1"/>
              <c:layout>
                <c:manualLayout>
                  <c:x val="-0.16565656565656567"/>
                  <c:y val="-9.987515605493133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53-4476-A40E-C88EE450FC41}"/>
                </c:ext>
              </c:extLst>
            </c:dLbl>
            <c:dLbl>
              <c:idx val="2"/>
              <c:layout>
                <c:manualLayout>
                  <c:x val="-0.23534204291879246"/>
                  <c:y val="-8.40577759068801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53-4476-A40E-C88EE450FC41}"/>
                </c:ext>
              </c:extLst>
            </c:dLbl>
            <c:dLbl>
              <c:idx val="3"/>
              <c:layout>
                <c:manualLayout>
                  <c:x val="0.32740590010518328"/>
                  <c:y val="-0.15614730505353325"/>
                </c:manualLayout>
              </c:layout>
              <c:spPr>
                <a:xfrm>
                  <a:off x="1674748" y="72977"/>
                  <a:ext cx="785799" cy="371685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03538"/>
                        <a:gd name="adj2" fmla="val 65693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0898381796763591"/>
                      <c:h val="0.186708661417322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453-4476-A40E-C88EE450FC4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Pivots!$B$84:$E$84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Pivots!$B$85:$E$85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53-4476-A40E-C88EE450F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[p3.xlsx]Pivots!Tabela przestawna8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Shipping Time Distribution (Days)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Pivots!$B$151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Pivots!$A$152:$A$167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Pivots!$B$152:$B$167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5-4B32-A0A6-2CE2EBC96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overlap val="-27"/>
        <c:axId val="205433375"/>
        <c:axId val="205455455"/>
      </c:barChart>
      <c:catAx>
        <c:axId val="20543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455455"/>
        <c:crosses val="autoZero"/>
        <c:auto val="1"/>
        <c:lblAlgn val="ctr"/>
        <c:lblOffset val="100"/>
        <c:noMultiLvlLbl val="0"/>
      </c:catAx>
      <c:valAx>
        <c:axId val="20545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43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[p3.xlsx]Pivots!Tabela przestawna9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Customer Satisfaction Level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Pivots!$B$171:$B$172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Pivots!$A$173:$A$176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Pivots!$B$173:$B$176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1-4711-87E6-6E3F6ED99F4B}"/>
            </c:ext>
          </c:extLst>
        </c:ser>
        <c:ser>
          <c:idx val="1"/>
          <c:order val="1"/>
          <c:tx>
            <c:strRef>
              <c:f>Pivots!$C$171:$C$172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Pivots!$A$173:$A$176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Pivots!$C$173:$C$176</c:f>
              <c:numCache>
                <c:formatCode>General</c:formatCode>
                <c:ptCount val="3"/>
                <c:pt idx="0">
                  <c:v>37</c:v>
                </c:pt>
                <c:pt idx="1">
                  <c:v>51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1-4711-87E6-6E3F6ED99F4B}"/>
            </c:ext>
          </c:extLst>
        </c:ser>
        <c:ser>
          <c:idx val="2"/>
          <c:order val="2"/>
          <c:tx>
            <c:strRef>
              <c:f>Pivots!$D$171:$D$172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Pivots!$A$173:$A$176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Pivots!$D$173:$D$176</c:f>
              <c:numCache>
                <c:formatCode>General</c:formatCode>
                <c:ptCount val="3"/>
                <c:pt idx="0">
                  <c:v>150</c:v>
                </c:pt>
                <c:pt idx="1">
                  <c:v>182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81-4711-87E6-6E3F6ED99F4B}"/>
            </c:ext>
          </c:extLst>
        </c:ser>
        <c:ser>
          <c:idx val="3"/>
          <c:order val="3"/>
          <c:tx>
            <c:strRef>
              <c:f>Pivots!$E$171:$E$172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Pivots!$A$173:$A$176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Pivots!$E$173:$E$176</c:f>
              <c:numCache>
                <c:formatCode>General</c:formatCode>
                <c:ptCount val="3"/>
                <c:pt idx="0">
                  <c:v>312</c:v>
                </c:pt>
                <c:pt idx="1">
                  <c:v>373</c:v>
                </c:pt>
                <c:pt idx="2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81-4711-87E6-6E3F6ED99F4B}"/>
            </c:ext>
          </c:extLst>
        </c:ser>
        <c:ser>
          <c:idx val="4"/>
          <c:order val="4"/>
          <c:tx>
            <c:strRef>
              <c:f>Pivots!$F$171:$F$172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Pivots!$A$173:$A$176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Pivots!$F$173:$F$176</c:f>
              <c:numCache>
                <c:formatCode>General</c:formatCode>
                <c:ptCount val="3"/>
                <c:pt idx="0">
                  <c:v>224</c:v>
                </c:pt>
                <c:pt idx="1">
                  <c:v>247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F-4A3A-8B5E-6EEBDDD3A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203519"/>
        <c:axId val="425196319"/>
      </c:barChart>
      <c:catAx>
        <c:axId val="42520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5196319"/>
        <c:crosses val="autoZero"/>
        <c:auto val="1"/>
        <c:lblAlgn val="ctr"/>
        <c:lblOffset val="100"/>
        <c:noMultiLvlLbl val="0"/>
      </c:catAx>
      <c:valAx>
        <c:axId val="42519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520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E1EE45E5-FC3C-43BF-A291-1474A9956E2C}">
          <cx:tx>
            <cx:txData>
              <cx:f>_xlchart.v5.6</cx:f>
              <cx:v>Suma z Quantity</cx:v>
            </cx:txData>
          </cx:tx>
          <cx:dataId val="0"/>
          <cx:layoutPr>
            <cx:geography cultureLanguage="pl-PL" cultureRegion="PL" attribution="Obsługiwane przez usługę Bing">
              <cx:geoCache provider="{E9337A44-BEBE-4D9F-B70C-5C5E7DAFC167}">
                <cx:binary>7F3pc9s4sv9XUvn86CEAkiC2drZqQOryfSWZzBeWYiskeJMAz7/+NS3JlmU7sZ2oXq3qOTszG5MN
NvFjN/pC49837b9u4sW8/NAmcSr/ddP++TFQKv/XH3/Im2CRzOVBIm7KTGbf1cFNlvyRff8ubhZ/
3JbzRqT+H1hHxh83wbxUi/bjf/4No/mL7Di7mSuRpRfVouwuF7KKlfzBtWcvfZjfJiJ1hVSluFHo
z4/OPBbfszIV84+Pr+E/P57Mbxfl/IOTVanqPn5YpEqo7rrLF39+fDQM/vjhj+2nPeHsQwzMq+oW
iIl1wCxMTExN/e4HffwQZ6m/uqwhrB/oFjFsA7H1Y0/nCVBOy/k3qZrsw5K19cVnebrjaH57Wy6k
hFe7++8zIzx6E5iPv57Ow5On3gwzMmDgAxx/frxS87T78E+4uE2zmz5LFx8/CJndTVvZOdnwyp+u
7uboj8dI/uffW7+AWdv6zQbY21P8s0uP8fwJ1n/FuUgXO8DaPrAYMS1kGuzux97CGrEDCj+mSY01
nFtYL1lbX3wP1usR3oL1mmYvsQZhut2FYNMDWzdsbFtkCTbdAhvjA0yxQS1QGUt18gTrO9bWV98H
9mqIt6G9ItpHuJP5bVbuRLQJQKljGyR3W39TijEjOlvr9+fRvuPsl8BejfAmrFc0ewi1k8G6NAi2
VLsQb/tARzZjhNDndTmIN4Jl26QItPyziG8yuL7lPUL+eJy3oP+Ycg+/AV4ptYuFnB2YCBNDf2kh
x+jANA0LIQzm3LPg33G2vvYe1FcDvAXuFcke4uwu4g+nGXgIv1+zG+iAmgao8EHah58n67hxgHWD
wDr+0kJ+z92v4L0xyFsw3yDbQ9xnaZf9fsjBJ7N1bGKdrux08LwerenIPkCMWZZtv6TbB8Z+Be0l
/VuAXlLsIcbglc9r8L3lDoAecLQwwpQunW+Q4EdAg/Nt2ToDVW+t0dwy0u+5W19/jy7fGOQtkG+Q
7SHuX6tvu7Db2AEykGki9hLksHTb1LINi6wh3YJ8YGx96T1oL+nfAvSSYg8xPpmXIt2BXNMDRg0T
Qmor33s70ALGuUmQbVH2kgK/4+xXUF4N8BaYVyR7iLOTxZXcjTTjQT1DSO0FBY4PdN0mFjPMNZhL
aV5ytP7dG8R4TfgKYNe37iGglwKWZClud2BwE3LAbN0kxFpCqm9HxBE9ILBgY0S3IuL3TL0D1g3a
VyC7cfcegjuKP7hZCYGyHWhm+4BiZpl4pZjZtmkNFhcEVBAETpbwv+Q/3/P4Dqzvcxgbg7wC9OfI
9hD9q/lNCQHgVO0GfpNCDsQAo/p5ZxodGGz4A8GV4WcL/gfe3gH7JvEr4N68fQ9hPlmkt9mNSHeB
8mBjD5ESipYqfFuDYwIhE2oRMgRTng2P3XO3vv6GFfpeTjcGeQXez5HtIe5jyAHvBHTrgBJkgWcF
oZG7ny1fekhu2ib8QVum2JKjdwC9JnwFuOtb9xDQSbxId+FDQYwb6+AnYwh9PA6KQGaD2YhC0cIa
tC0P+Y6l9bX3SO5qgFcAey+1K5L/EoB/zuajdx8KFv76wYS+teiEHmBIT1gMLXOST01sdmAhiimE
StayvKmmjzYKZZa/fwbkZa3Ok6KTTdpH77h8xZ9PzH9dOcnVPIUMJJ+X3+Y7qSAyDgysD7GMlxWv
xWxiIHCDV4p5E8xH7P3gG8MvALpF/wymj34FtVRbFPsJ+Qe+KNN5ebsbC8s4QBDWQDYhSwsLYpWP
dDT4yJgZOtt2kWHqNxh7H9qPBniE7fMlY9vP3EO8p1XyLYtv1e93mA3wh20LGcbTZRi+AQsRHUqM
nhPr+4Vxzds7wH5mjFfg/QzVHkI+S/JFKebx74ecYAiBYNs0yMp9eiLc5oEJhraJoOBo+Nlyku/n
f83iryD/MMZbkH+g2kPkr8Si3MlCDha3pROQ52XsQ9/GHWJjcBGWensZ7X4J9yWDv4L6eoS3YL6m
2UfE7yw4p6z6HUg7FIBTAxk6Wllnz+SqoKzQ1nW2lYNemlEDV++AepP4FShv3r6fAH84zOZFtats
JOQiDQxm+t3PE7lGYKxhA0JmP5FrMN5WXL4D8ftlYbDH7od5BfbPE+7hV3CcyQ9/pf4iXuyi1sQ4
0E2MiW2YS3NtW86hqAgbBKqI0bIyYUu7bzD3DvAfUb8C80f37yHUR+Cc7UCXm5CZvCsLXeUuAcPH
bhm7qxpGBL8U+B4Yewe+9zK6pH8FwlsUe4jxas2KdxN1gSQ0yCqU9a+8r21xhhJgKA9EhrldeXA/
8Rv8/Qrij4Z5C/CPCPcQ/xPYALAoF90O5Nw6sKhFKdFXRWTPrOiWaUEJ2Yube9bM/QryD2O8BfYH
qn3EHArK8mwnpUb0ADZhwjZNe2XFPaPbmWVQG9NVbnsN7TI5MhR3DZytf/tMxPylCOsD6Stwfrh5
D+E9gg3Bu7DNrANYkWEz3to2265KgdylBddgO8eL6/bA2TuwvV8N7l5ta7/t8/HUbZI9xPk8nt8s
drNNz4aYOJQXrRJfzyhuqPqHwBteGulbFWb3U79k8FfwXo/wCpF+8tQ9RPx4Hu2ilhDsbUATNPIq
T/KkwB8fMGQiCyq+12Bu5bIHxtaX3qCz7zFb0r8F5SXFXmIs5WIHbhfkSKCkH2R6tTI/Fzi14LIB
SdI1lE9QHlhbX3wfzssR3ob0kmYPsb6Gwn7okPH7be8hIQaLNQTUVvFSgPSRjw21/ZD5NCHbvRVB
uRfJFW+/gvb9EG+B+55oD/G+yuL5TsrKICpmwno9OFt3P9tmN8CtGwwyIi9u0Vqy9itor0d4C9hr
mj3E+mRR3ixuf79oE4ip6BazIMH1fIgUEmCGDTu3EH22OnjJ1zuAXhO+At/1rXsIK8SDPhxXQn44
+yZkvou6YPMA29hCsBC/IMuw3RIip7Bt/iW7e4vHd2B9vwo8GeoV6L9MvIffw0kGBeK/X8phQ73B
dAbe9GoBf1Jfqh9AsgxaKyDwzjYr1e5n/46z9bX3GGurAd6C+IpkD3H+msW7EHZodkVhAz2YYtsG
GnRUoJDmguqlNYZb1vjA0frSe+Bd0r8F3SXFHoJ7XcHWy2Qn3cxgk60NRYaQt35Rm0MxC0I2fkmO
18z9CtYPY7wF7weqPcQcIvy7EWgMnenujbMnjVAgSIqhUAU21r+0eg+M/QrWS/q34Lyk2EOMT+f5
/PevzQS8LQZxcAh0L2X6SXwUmtZBIEWHLMgayKXuHvhZ/+YNKntJ9gpElzfuI5CLer6T/oMgjRam
NtFXW+OfQImgFgH2xRvbdWX3ZtbpHWvvQPXJCK8A+AnNHmJ9Vs6hvGgHYkugYhiCJLb1UmNRaEZp
QgdCa7tWeMnROyBeE74C2fWtewjoOdhWO2lMxA4YsShsk1/t6XkS5NQhyGmDE0W2NlPei9GStXcg
+2SEV0D8hGYPsR7iBXwBQe1d2FbQccyEOCc0gr7POz4OaoPTrGMdNoK8lKd6YO9XMN8c5S24b9Lt
KfauWPi7gB52eyDIZsCOjy0/GfZwIYvYsMlr9VGsgV1aXMOU3/G0/vUbzK4N2legvHH3nmI7hoX5
RsibH3snb+zsTmHnlq5TqAJ8QabxsHETmTbZ8peG+X4dR8/3dd+ifyXCG0/cU5RP5mqxCwm+qwyj
UAu6ktMnizU4TRhKQZnxUsBrQOyOu3fI8v3auzHIKyB/jmwfcQ/mO+n/DGlo6NIP6pm81EcQH4Du
1m1IeKxB3YpyXt2xtr74Bu39AN1qhDfBvaLZR6yFjESXVb/fwRqaABPQ1HjdzB809mP7DB9YcLKD
CUd1rAHdRnvF3Pryu/C+H+NNiN9T7SPmQ4fvXVQKQg8jgjH0hl15YNvWGdT3W0Nlwsvhk6s71n4J
79UIb0J7RbOPWEP4ONlN1NMgzILA50vl/Hc2umVAAfgazm3pvmNtffFdsr0a4U1Yr2j2EWs4R0jI
eF7totybQjW3Dv2LrJeqQiE0qg+b8ShI/bMZ6OGYoyV76xvehfnGKG/CfYNuD7G/rmDP1i7CpFDm
T3Q4UWt1FMtzbY8wG3ZtmS+t4kvWfgXz9QhvwXtNs49YL4L5LnQ62OfQHsOCLbcvdEWCukFo6w7x
tOF7gJ+XXLPrOwZ/CfHVCG9CfEWzh4h/BoVa7aR/BhzEAd0xiP7SkTxDgprB3g5L31LrK5beAfI9
5SvAvb/3/wrUl4/Tuz+h0J2r+ejubMONE/V+fHV9FN8W6WrdfHZZXF2b3f75EfLMBNq0g498f2zi
MNCjVXcrnrVckB8TL8DL//MjnJY45KcRhQ4q0GcW0eHMxGaxukSgZxa1KQOn3YJTmeAbSOHImADO
YIRKFkh7Q7usByqZVatL0K4W0t06IlCwBk067o+gPM/izs/S+8lZ/f1DWiXnmUiV/PMjWIv58q6B
WxNGt6lhwM5QqF0nuqHDW+c388th6xjMxP+YMfQqD72yP+vVl8L2eNUrvjExzzxhGOHhCUNfGKiM
taG3qgEdJeARAwcbT+hzz8rbnKAz2Wq81MdmLLg0b+t6+uPnPH6Tp8+BLNTmczIN5UUpTHRm5rWD
yuOG3v74AXgY4UdvAkG1zSf4qEhxFcCb4Jby2vhE2fdM6xymnbGqHhGsO7L+mlfTSpyrzONILMJg
7PvnOLtQ6ZXf5FwVR5bpj2wv5b5xUYVXTRK4LUt+MhUIKh9+yCl8WJucEqF5qimHuSAjr094kX+p
auFkyDhrPME9L+Ki+041zAv4v7YlnB9P1WCUPmEAyqzuOmYbkETSHzOQ2j5StU67s64OBXIQK+Pj
yMBEOV1uFLnDQj2tZqFtH5at5GbVXKK4sXiTZr5T61rvlGYRcJxXej1Wvn7YMFDgkzj5GyfksPF0
STjWQvSpJUk4IRELbe7ZiqdhOCqtcpZXHcd1MUaqc2vVTYL+rLbEKPENnhUar6x+UrbsPMHnXh+O
vepv6cXcl9fSt0+IinkZWW6dAgNNNiOm6dA+5l2Yu5F5neVF4VrE531RwiQip0LVMdWTUZNPu+Jv
GSa80wgvmvQIKeMiDE/CNpnUKc4+JWbMc9KTUcaulWG5RmjysG59bgrfcA1R2K5uJ8Yoi+KvSst5
kvQlZ6Yn3cg3jn+MEBkQePiYnwj+0BJg8xNpBJOhamV/pk/I1Jv1x+oLmdiz8kxydKymhVOObJc5
3Zg4h+VhMs7c9qs2i8Zqok+sEzEOT37M0CA8D/w8FV8wdzf5MeK4osnwyWbRLIt42ril5MW40H+i
jp77MjfV0ZbCs0XSx0EAz9FSHl+3t4XviMoxsGt5PxEC9HiKl6+0KQRgz22+EoP3LwkT+CwgTnge
tW7VOqXPGzkKmeOfNT97tec0IESIwNqA9I5tsi1IEytpKY0JPmtCydP+W62d/xij5xTg5gO25k5P
BU1rH+MzWbuVGfFGc2Qb/QSgnz1kS8uylll9Z8NDWH3UF4fKusbWPz9+j+eWpM332FKPHazVZZmY
+AyqC502brhuXbLwlAXt8l1WVsv58vtdLrc3Wd6Vwg9Whz7f//U/11kC/7s7OPjhl4//CiOshhwM
jUd/eWL5vGDbLA+cfuHiy4bP2r68MwYgV7Qxj09sns02uQ8Gj3lHtTZ2EHSAHPoJ6XD0nAmdtTeN
HWgKOxR+QZzDhja/Q+JpZewYsF8KDCQ41mro7Qun2gEea2NnOBUHBoS0pQ15DZuhtxg7aJC4ByUD
So+BbwVbay3YukWg+9WWhKiegPquqvY0bQgb1Y0X5DwjIY2ciDb1haWZ3WHY1mk00vVIfVWZUX+K
DNkWXLK0+LIxe6tvY9P0Gjbqb3MDBh7s8gc7D47lHWrPN/WDkXZ5xIKqPsVFik79qE/B/qKZFTht
rTLG68aovtI61wQvE1sVThGWkc+9XlLDgaLX9JYppZ/BGEHl4jhGn3pTs9Gks0xvgToNteMfc4wf
a5i7+TOgzQhsa2UmhTafW8u6IWgA2HbqlLSm77tW28efatgKR8aKdpnJ665FoSuoZ/OeWp3gXaST
SVKXHXLLOlO3QSslcoSWm66Ew9RrrpJArzktzcgf+VkYnEcVO0wkC6QLkVH2WQbFURQ3ZjsSUoN1
pwzqZPLjt3oKA2yv16G/JZyXCNUNdy+9YaDSTvMbLY/laao89jnzbYS5EWH4NPK0as+btmRXuYfi
v3/82Md6ztRhyxiY/JQMRvHwr4GtjceaeusbufTT09Tu0SmKguo0laUjbC/4/OMnPV7ylk9iUKpD
YbcxbFWzt76zPDU6MFaC7NTOdWNeNFkZTzxld5hHeTDSiyruHaJ3duaExGySn300j5fB4fHwocDZ
hQYcWQfdYbcfD9soReCniTilRWTOk7Ay51E88GD2iRxZZZbxTgfoJ01cNGCRRhldqJjJWcM647i1
SKk7pAmzyAlpmnwiZY6JG9hdt8i1OnfBWkyoY7LMKKcmsfrqJ+vRcBbAIzEdUBrUBvSqhrOxYf/I
Y6B0qzJT0/S0E1R5yVyUSvocaZFKDU66LvUPm0BE33yb5cdtXwRjKzNa4WBU0++K9n3mdIFPHSML
64UoCb2tzTyghz+G2DCfgEwMWPrhJJPhqBqQzi37ySptoZeBIich2Nces13Fgn7Sqpawsaqryinb
Qr+ok86seBAE1ClROpG4zCexkWMniovkMo/NpOU0bvwvTZhks04qxXOzyD9ZMrJdr0g9p8rCUHCh
SNhwL5TpaZNr8qzQwKz1fcRCrvVemji4DpKpaan4Eof+ud+lpOVg4RWnyiuuFU404lo1hokUHQbd
YFR9z/XGDo/jwLS/enplHAaWjY57v62Z0+iBkTig6cVMs8su4U1n9y5qTM3tw/Yml4W6qnSNBrxJ
FB17sqhmhofxdRGgJpp4VEOC90HkfQMnuKy5SAvtnyqhiZvnEs+iLM1nqGDxrahzC+SeJNGVYN7g
5hWGf1h6ZeV0MA8TBE7uWdEk7choSvAvUIvqUQwnLoPb0vh24dQ48EaJJKVb5ews8DRfdxHK1BSW
Gtw4qR5a3FY0/rtN9OAIlyy/MokyJxULNTyWVtLPbSsrR1Jvw35cR7Y/1tpWn2MZN9+ln+em02Ol
Vzz1ce2PWxVmIBxNM+r8urLHZeYFbqxIMk3hVg7dgcoMJjqpKQ9lGGoO9RrKaWa2PTdU7DlEaWky
Ka1o5BtVp180BBmukKUe8xC+JDUmqmFy0hLaHltR38feRdUUKgEvR8RdWt4GXoBx/1U2WkuTgLMS
VHl2g7skVKSE43+rKtdPVaSSqD1kougnNauUN0tKIXIe4ji70qlGZmFHSOVUgIHHu0JnLcCV2Lab
eh6shyqOmmJkRY2vO2WskHcWFLpFs2nU0SZwuzZm6tiSisAX1XgZko1TwVo4trQg9M5qEB3Ldwo7
t+GDI5FMxmksSsbjAhYvb9TWwnI0D5rZm7zz9NSAA7y9JHECVjXeuIlpnIykB1bB2Ez9pHfs3gSN
meLIqJwkKLWY17Lz5bkUWpKMMl/Y37WqpkJ39QyriTDsyj41Nc/3DlNCFTVDJ21l0XdTCcn7Mhjl
fkCTkSfrvhizUqZi3MVW0k11KZPcMXEXC4e2ZhdPSlEIzQFY8RctT3rkwpllUeLCP7p2Foe6JmHK
0/RLmCQsmZGSqXgUBcq67CtFyDjUMoyOgiaQNOU0wIGaeGWdp1ewGJPD0O9xNK5y4GCUqdjvRzZq
e+bYYZc3J4ndwaetgaiUrodQdViCZxy7vkf8ygW/AOAUVIJ9kvYh6RdxBPlN1wYGEpd0SVDMkC6M
qS9oZDk4igriikx4bl95kcm1pszZeeg1oeEQUYQ9T/Kw1450LzbGKPd8E9hlNB+hLuizWSBQ448i
ZgQNH+7jiAmWwufjk8JpG6H1XLVC+6eEM3E7jQuQI3yK+lT0gtu1oZHrLm5wdWrlrMvclBXqxKxS
WJJ8SSMgYAmB2fJEgNKvPYrT4LDokrgdy8bsBfj1vro2QmzOzdZLPG4j+HjHVdpSMpJWL4D5CoWJ
G5Miko7deCOBRPE1bhqwLEI/rK+kaTXf8jIg05o2vjeyI1PHPLU9GMeMs7Adp2WNTnuImxkXUpno
GikN7mgsTdqOQh1tRzVOQjEtW4ybWUp9ic+ERtnnVC+GjzMMCzmhsQzkedsZynb0ogFsgiYFxjIJ
SvcIVjD2mdg6fN0JaMnShX3ubTZTknn4PCyrKLrEdsqMWWuETXWiWjUYn0HXnpuRZrWjrEng0VnW
9zVvcaL6iR7R4eUH1hvQT8BXnqBTw0zhLarChKkKoizqHRbVIDp57EfiIi0piHxZgVXgwzXQqVil
wVmBjK5MOckDHeBuyrY6SbQgl1zoVdGOW2iDR0ZdXeBBaYAwOfBGoEBahgY7WaXJZw8OfDu0ayFs
bgdmBN9F51vzJiXARluG3SVRrS6PfDBzw6MsT6PwyobVYiJTHZ0WzC++QvmzVfDACAQ+zGyfVUde
kPm125W0aMDA7cgkxzCtjk6L7iaKI/O8raSeTQu9q6MvjZX4cpp4WvK969mgQ0QRBy74ATYZCdwF
cpxbCfui6V4yTprcLzg1QM11ZRNcikzJI5ZEoemauMQ+qD04EpzXAWafy1Cr/VGMUxCTXvMImxlp
hopFAgq5O4RYNMhGM2jsUWhqMKNt3UN4UplNcYTKCluOx2JVw0pLah1M7yL8p2Q1u9Y6MNMPe6ZK
dKtk2kmeIETrmWgwDNUmKOgdo/Etf5YDLI2jRcwa91ldq5O2o/FVWMuC21ROjaStzWnfWABOpCPZ
T/I4yrKT1GqNY03pRjYKijSpj/yuyQPHNmUSXIMlIm91loIaAdUpax4FspGcNbVdwCrQFVexXyDx
N8p6Yte8Bwus+5QrojEYTHrlKKBa5B9qXt58C3xdq52YSiuaCaaji1ZqHoT8qkKKkegr+EgFViE5
b6O4N08TK49jiJHWunVioMBonQ6sGzlqghxQa+xU+LzsaQK6Q8p4hFrSlm4dY7uc9HYBX39ktD51
O6/TpePl0iq+NGaHrsOghG8NVjr2Gb71RJ6nLEWgYHHOwrGdBFbD2+ortqvGRjyKavrJxGnRuI3p
K+PE8GK7viw8yUpY3OGLHuWCAJrgOHTtsSAqyo5pmQfkHLd6bM28NmPwXm2r+SdRqeWNm0gPdAZY
Y5U6iWMP+C9Z5I9lYEeB27S6PusKA+S+sywquOEFdBnT+w3hj5v2Xw/BkBNxU2Yy+64eR0XughkP
d00W2VDhIrdvGri5v+v/LpKCN0MpQwpp2Pe0YcQ/Cafcl0z+FcNr3c6fp18HVqC2yxi6kNiwttsG
oeCk3GeRoKyTQoxEJ5BiIGhIW2xkkaATDRxNagzt3KE47CGwAhXCcJwDeDbQIBION8SrTo/+IluF
Ln6URQK533KSTDgiEzb3gXIB2wN6m235mHbrF6yyg+osFCo/tGNmnJRpe2SnceGYVfnZShK3CFU0
TTMa94sgk4V2UXUdGHu9cMDOiC9YkKdcRd2F8o3DTCbZuIil4KjvIEAQIW0i4trgRg45lagOZmCF
6o6fewYHPeEHDquLdJzQPK6uOj//yoIu4xpsaOIUTIHQybE0DutW6w/NPG0Dz+nsThxWceR22NOm
Siu/+yztITahe5MOZeAloYjN4sqvP+dQoXGEhRWd2CQFJ0Bc5RUJ8pGddPo4R7Zw61LTXVqz1M0g
wO/GscAcWwz0BmJHES3VqPCRYyqsxmabn9pmUPOaZGxcx33LIVsDtkWQNtOykadISuaotPhaNv5x
h5pRoHculvhEN/yjplcBV2FecQE6kUMGxWkqWY1SQJj7nqZG8DD/u9dk1j9dH9beuBgyKeAcgd0a
SDRlZXUZROTKvsvA5FagqQuB0mIK7o2TFoE1LcxOpleW0lnJg8qjNSfUMyYENXXITc/8HnlVMxuq
XidVGkVun6TnXShPLSM/TOPgtNDxka20cSabQy2x3KwHnVOkXA97xxT5bZPiS6HY1zvh+d265r9N
i5hQ9fUqLQJ2vVps65Al9YYOgTTscPCWPtSRWhAW39AhEKcBTQB/CMTAILqwDs5C1QocuQdxBdir
CSd6WaDU1sHZoXjhTvBNk8DBmsx4S3AWktdPdAiEWiwI9UIzNejhMPC3GRGr81aCgxUQyBQbutO3
9azpjMJFISG8tIpxRnDFS9V9oRhkTPrGTUnsY8W6yDUHGyps4TNVZXCkmkznqZ6eaKFecrvPK7eV
9WlbWtI1WJk5WVZ961j6NRD+CAz7y8gIJ2mnDjHBl0Wehzwsuooz0BkgwPg4TcBF8TX6SUYsc2KW
KLBuvE99Fn4xwXXjYAO3jtUmZ6ZPzlBjjViRHdK4mEVmT2Z97ZVOFWHbqYN2AmHeEbbz76DHLqvG
Nw9T35tAauGbLTrOZP+5Bc3HI5xgTsBN4paRpC7JPUdvs8qhefC5QdU/UVsbThAFU1xlKc8lLXkS
gL+tapU6IienUVIcxpFBeFOW34s6QLzVMuX0sX0mkjJ3Gr84C806P2wTBSaJ8HyXJpB3i4LSd5ju
e6fSynQXXODe4oXRf7dxHZ3WBr3pBUxu7iXBBQaDhweyXASgK07CLJ6ZDFLKHs4h45pK+0yKNhlR
2gBqVWDw0le+EyVtA04QJFfrEFkTMeQ/rRLsRaOl/oXuEzTp89DnhS9inqSQaIXwRsZFQvyR3sXh
lJA2HmlC4EkYDIHLHsJwVgtmsp5lYG17yEVtp0NUS4qxoefe2GhIPCoThScqI8koJeEx6LujXoVn
UYpmqvN7VyT2d0gFWzykkIDVpCBuV3XhCHm0m0SVH4/0MLBhIlAHCrZgExVaPg/bspowDMZq4pcQ
iQQ37zJtqD2pcjMYQdlPONV1z3PrOiZcEqJdxLD9nSc9vGnRWhYXlm6NbV9TTtg1Nu8yPx9p4DyC
NRiJQ1PKZuLj4LrD8ryq9HQUaHbHM5XDyV8SXKHAgoBFwYzDnEFC3EdDwL0fpkjg9J9GmuGnFDxl
LgOWTrsKsgu49TMeeykUBtgBeIN574HFSGGOS62a2g2YgUFjNODPV+I2SgQFpU29Ue0n2lRX4bgy
45HnpQzCbBAmS1hacoitJNw2woprYWO7ZZ7EjlWH1kWP2ouwrS6tJolGEodIODGOTyHWpqbgjn1X
kKFUqA7GKkcVj1lcnggwrR3SWm5cFtbM6hrv2NJoPYF6CeMSa9VnwTKlubqqWm8S4BYhLqr8pgGu
aK9F4JyGMZd2UEw00V0jrUHjNvAtR6/ZYZpga9Q0HeKsrmBZlx3PIToLoSV/JNJUO9QMfSoI+VRD
XtwBg+I6KcJDGqbnDZWOptETaf7jUXxUZVb9dxfFi8ZSx62haTwtIelhN1VzXEFcZcqYCrkoRcT9
SD/G8LQgD47q2vheQBjCQX18ojc64jWjn3sbosgi7G2uZHIrKYSWIfI0y8LuAvJux5UpIOwZ1MRN
EzubRAKBq10Hptt2WctrQSlkhpJZKnHuUEnMcdcBhKhIzirNv4pb7x89q77mBqgHW89rl0blkWjQ
vI0sayQjAlFLmfljVCEwaqBoITLKUR1KzGmPEh7L+kTazZcKNpm4VDPOWUttniU0ndmmCXcqPeRV
FNdOrrKjKtSn4LGkTm1441DPijPBVMdDiEpxrWWuauEYYM+KuFkLF4KG1lewIxJzlKXtSYrVTWbQ
WVqZf4OjYs5EgnhY9t8gvApBxKydwkvH4wBD4DNBvRtb9DQIQcuwTOO4bJyIaRmvMzTVCmvaNYUb
YgGhaNFcQG3UcYwlcTwRf1M2m9KUnCI/n2hGMfEheAiYQg4Ywd/NeWAL4UhRfZeCnkM2Qo3qrJup
xAhGFY0dzYguIOCjwVpQOTHpjgIVXyRMc5EIrmPIYAVWOqVVnLpVIq5joRzwtkueepLypOunHgS0
RezYumwhoYgdsOcXXpV2HNYxrZtIG0v7XCRR7PhWeqmLshz9v5EErhZ02nydq/V4/8tDvd5AvmEl
gbM07HsnJjLvfKZ7KwkNLQ7AGDIQgvqBIZO19rTYAXhecAbx/7L3Zb112+rav0gb1ERRl0fDmj2s
2LEd3whO4lAzJVKiKP7671HSId3dG18LnItzUbQIWiTxtJZevs9IOPl+MeX9tiUxBLWC7fYVWPw2
n9/fQlqwj/55SwoQAoKehruQocIC0/1hS/LwsIxOvN7B0ad2xGn7XAVE4ej2WTGeGalNmIw6dJw0
LPrhZlnmB9KF+5A1OlES+lhVkvBieqjauvb6ZAYwCmBETNvVVzvPneJbKhZxMHocrl4gB+wgk3Pu
Vh7uVS1eYuvWqROSL/0YkASs0LWrsDkAcrSZM+g28Xl0ZxnGQi9AMPEB8nolFpu4jPvJXPE+xTC+
Nr7THnWHw6YrwhzaVXhwImOS0C/U0W3mnkG+6ENsM82HwGXvSzM+CF1dhm6RmSTUOdbGMScet21q
p3i4IzN9xdr7IR7xUQq3uUHn45IF3pwp07dZscRAUPjR+F6bGK6vpLFP3Tx8jOvxXJXqlTj+vh46
fLF28dIeWlQQriaZl/DGDuwrKLwmXVcQiViFzmskRFq0y5g689QlJTW72Cu+NKUPOxsTu0KoPHJG
TLbhpa46UHvbDleVnczBDX22Ffjo7fle2PAB8mibktof2b36PgicbSYMJT5fQRadjtBwmCtzOYg9
qLgdiZe9R6bz7MY7V9p3y1iVh5E+9yaUaSQxpJVay6Sf1ZAGXd2lksGdFvNYJIsXPA9zezM7Ps/G
YMi18aDFr+9FRHPPG6bUK/gbZM1vc8QFDoywz6bAip1LpvaGtXDMyZUmER3JYaiHaykhWIF/S0BQ
87RsBU1loMKkp+KovemprsV1Jh1JKB2WhLX1bqOw2k6mpd/vZ5deDdTGqR9iWAHAxsqpzbTT6ZxR
vF2ZCrGgNHzKotWSQ9T2VS46BRcfL6a8GkGsFXBWdRycr6LnYmFgs0Zlsims3shqeTpp8RYZX8Ko
5FTZRgMeCtg6smVqGuguQZV03kwS4tohMwH8gdhRH6ICw94Cbhy8rruZCmFSIN04KQykhmqEzOgH
wbl1lit1y0995BdJbzqWh4peOuodQONMqebxnemVylrHg4OwdI+EE5XQwZ2SEM4TnIzmThjnKMUk
k3Vpvsz1DOHG/zysy30dzCZzefeOIXUL/rdL5MJu9RKSHJhfJoXq9SVe1b0/+F/rAKypGsqD366f
lzq+NV7/UPVtnXah/dSCKEmUE/IdC+t6N3A5J1NBPykxXj1ebkJf815bPR7AhOztvESp1zo0UYFq
k5hXD6LkCx7qCmv30Dz3i3h2ZbkmVAdvktSvPZ07vPwCUrEoIAIJ/2YW7KmWztnl+sTijuTEhDkt
h1MhIH7NADI6xPJWx86naVz3US0uQnZtglVrSaCWv0wQOZOG+/FBD1GcKahZh8XFG29UcXDnNYI5
2Qgt5ofF9x8SYeu/++9u9t+oyF9urP/d3fXDC/+9Pe9XOzsukcI9QhtXANbwu1frt+MRNefgIfGv
G4YeDr2fj0f0TsAIFFMPqgmejp9JBFQy4mPhFxfVE7ie6FcX218hIumfLEoBLO2QTXEtKcPlKdtt
Rz8fj5AtIs/MLL7zOontM8SDvZe+4P3Vd/rSy8MStPhr7Hvy6gMJ0VOnqz61Or7QOr7IPm5SnAGf
GyD4dYSy6018twaBKJPBbw1GqW+PvfHHfNbxtWHLt41Yx9Blb/Hs7R0sk1xVGQ/HPcGSybBsmsE5
OFg+Qwl0s73Veb1cm20/pZPMuKSHiHgHUtcDYNiSAuNgyGC5BStz61mSVdvWu2z770zWw7ptxL3j
fq6xIhuc80fJohes+Ecrly+gNm8YzNbhBtPop1jWGR71BiYO8S5XljXbNl5ve3mzbejWcXYGRCDs
Gu5hxBKvt21+2fZ6HM8yH7Zdn/gM320PglMJ+9wBFMCwBAvGhhPkhhg8QIcyAB73Z76TG6pwJY/y
GkCDAXA0qtE4aoBBwKp+6gBK5rp+KHtxB9moShwc/7tuQzBgbI7LhmniCguy63RhRpZAA3EA+wwb
CpohsKegqi4DAFIXNkfFR8BYr/66dpolZENTsEA8sTZwMbHWNxj2F1A47rfJc04uoNgyrZd6w2bF
htL0d7y2ITexYbh1Q3MGsM4C3nVOv7zg9TxP4avtoAxVKtVtC1hQnwgtHpYNJ8qlqRUMHvFYXhyv
n23e47jiCQQlUVJMxSYebw0Po2OrWICNTJf7CvPbgDEY4xsvcspT1Ai996CMHvFzGUgekGrYlwWL
HwogpBhrmWv6ZBSWHnS4BvtBhkGbtbPhe3cVmN9RL71LBAP1MxOUHRzbkB9etX/m4rY9/4W5mIKU
+J4PQ3HHf+BY8UF+Qg8hMnw+2M1fIcJP4xEyDCo6fidSf0UPDDkgULIxbuPEQo9I0O/jEZU9yFGg
i4lu90ds8aG/MR7hu/sTetgMgOirh08T/2wu3J/HY9xFNu51qO9aXcGqlMpRkFNr3ODUg86s05p2
H9eagwEwzoX1cNrVYafxsNOsxAjAO7p+NHw6N8w8aGIua+HWWFVpjD2ZQY6uLFw+09PSrbdR5x/D
iiYYsyIZmbobjDnRYaap6cZjZeG77sBiLQXHZhXFBmPa/+YzPqXLd7mgatYUkqeXy8YZE8uCHZ4P
lgYtxmGsyk8rxRKl2mDNMc+6jMjhMaDznASz46Xwk6b+YEm6LlMS8FGnsi+e29jNJo+uqcReFlbL
Zzo3SV2MXYabzb+MdVSlyIm8UDgKEvhgj75hsBeABoNv5oXyYM+iwabF4u9KJp3EV93BozrMtGAH
ZSBxrQGmMzjNz6soPneTuSOiHJMQXuKKxFXaBc2+acwR5Fu/c80GZDSIC8aHrxzYJDNu/zJgRUr8
bdoV8/ROC8/eqmZ9q4awOIMPgnEv9AA4OM2dnrkfPHC/WQDbV1ptBgGhTLxflubshqP+xGItAbmQ
OdvBfpjaIKryoIjEDlAPeA8usJyVJTBabEUye726WQkzWQPH7o6JasiKFgGnCbJAIlVTgnaFNW0l
VZH3RFXnioh2z+JlevBCbZ8Wq8tMENg5GtWSm5V20c4uTfNJSO2dMNjpi1Zd90FJd7wvqVcdgWrM
ZYwLP9NrK06wW2A3dYKgvhRLP2xuI3OZpW29xHak+GxY5TDI48547D1ybUTs5mW5DB/Jih/8voDH
+tWpY/4tYO2cd5skhnk/5w1UsrXz4OLehDO9SWhKwscDTW1aLX7qSz5Ca1PQ3GC5ilNnnG/lJscV
mzAXEQ0UuIl10SbbBdDvgk3IGzsCR+om7UHjg02NJ80m+/WbAEg3KdAGjZuJTR6MNqFQfNcMveoh
+iEiQk4Um7AIelk/xTC7HSmKs5NyEyAdBilSQZM0mzgJL1RmNrnyHzboOxtEsBT+96kOn+j8+6WH
v5NA29/6aYxHuPraRUgA/mSstH+QyiJkexiuXQxRtQLh/CcSCHsxfgsDFvHMP4xxhjwnhLXIh93k
749xcEZ/9CSHUURc7NlYwrebZrbq45/HuMHQhAerCO4aO0Tr0VIB3KhLfyru4O/xgVod+EkPbAOy
zlw+rBu0baDQZtiIMMULWiWwWzf5HE9BpsKOHAhWmYxtUHkGZnY38Ixx82Y3ON358ONLIOz2O9QG
5q437L2B8GGD45rBWMM2iF7F0Nia2S1A3gDALxuULzdQX1IQFhvMd6PqWQP3V8D/dCMChMl6bffV
OC2J3qiCBpyB5cuTAIcAEBom1UYreBvBEG9UQwXOIa7llW4kxAxeP4nBS4ARAa2xURVw0/WZV7QC
Rtbxmw8+A8h6Sjsnyqf1fdkID5h5c71RIG3X35iNE+k5IPRGkwQK9mXpL0PaDC6QvnAQZsBOnbra
nH1b1bkHzmVmxW4W+uyCi3HByeD2kr3yVS7B1UDr0NAVhiaV2n+fQPQ2S2GTmCTQLS89iGAbwoU7
8wICewSmAGQx21jjth0OHWhkI+rHFrTyNPXXQZJzCboZKAMmsLC7aryk88ZIE1PJfj85LtsxOpzc
sPvcq7JNEb+4QPG4wJLZ47TcMA7b4I5roIa91rLlXq6+IyLHTuuw71ywTZxgaYRhABQR1c0XL/Qh
ncgFPqn5Cw7bXeTFPF0Yfrual3foYCqtcdQknTaHaS1vg75gubOYdTdO5bfFAe1ds/UTJYg6WnN1
tfsK4/6JCPup0oi/0VD5ecSDr5VnTgvh62tbjkilTgOs8n6fMg2bdkjGQx3KK/xqByAs5wID+eNa
4duCy2NMOGd3hVGwj5T2WxCG2VxOkBcaGucTXcnBRt/cWgRwX05PeoL1rhuQ82thBW147O9Dp4Kz
Gx75wQ0ziSMvdUT5hTejTdt5tTu21AN0Ob73HPWpAiEq8NiAF+xNAiss1CNl84n3Q+LCZmaWoEix
E9yvhfMiJ4JFx3ehQtQfw6JE4tf1okQVa4KnOYNx7NBGTZTSSZz6cKM8YPOdRxaCR2y+qXK6G7rg
TSvIX60FFFvrW0QszgO2goSK+NzDk5x4vq/TGke+LCuQSZNe9qOB32xCQjnxYtyN1bBPNhJ514ZH
ovgnv/GHB+vQMnFKBje+F34E/HgwnpOAUXwZy6A6DmV8tGY8F5wNZ3CYLxRKG/IRDw6lx9Jnd06s
riWh70Ngb7tOHhqB96alOEUHt58zWPo/aA2lCi5IPld7WZdx3pi4T/D00Fel1RFobf5QMF3Chd/u
oAaf6aSa/zWh4/+qXQxWDTD9//3U+o2j+Z92qPr3/4BC8Nd/Pb5QK4H7anxKyVa3DlfYT8cX+ReJ
kM0Lwx9hOxBDv6OQGLZmn0D4QOPMJlT8pGH4Hm6kRCesH6MzErDhb6AQtNT9+/HFAHS2AxG9NgFC
V/92fHEZLXXts/bOccdPvMLgt3P72V3DY+t2fVJTLD9yzqOwS4jGEulzcJ3j7cI66KML0ENXjR0G
qJPKaPZ2PCQ7IvyHpdJezqKNXuTrhUxFRh0BRhLPf8VAMLRueynDsU21gyewUW8dhftgdoOvhQd0
PzgdT3lozobprzjDwPQ3sF7Bd5fTVYeJu/Y2J7PTYlqEBo8xDpVojpEeXglNJ9Gvu16s996KUeTx
9jyb0E9g3XzxEcPJ4Kj9Kgg9AZwN2WgwN7iGatNBEwlLqDJ9FN/b2H3WhYWzgIGiKEtnSdpowv/S
ukotHzxkwnmRRMXR59MOGkSRjPC0IqdunmzJb6aoPw/FcC7xPSVireAKgSCyVE2mOe/ypvduCtd7
LNZ2gvMMtC1KIZDBUxrcbYNzLgj8Q+evVVqw4ZmF0kkpWfnMwVuMFX+YvHp4hZH8abXBcp42SOdP
at+6C0jkUb5CVTlWfbPvBmT5gzkUSbDAhTf7hZeA0Lgpuffkj7AqzNVy5+Cy8rxpZpt5oeW5jWHU
5jJ29o6YP/hO+TUEbtzDtJ66sKKfBX2bzBv8+rtgoG9q9cV+lrB5zIpDGFk68RS7Zf/QEpy77xW3
XxdTfrA+gSFuHkSUNLJk7A0sz22B9/eRTD05mMkTd54s4rugK9RpjYs0iOGlWyJ6mORaJ6QkVVoG
8Xrr1xZcVSW6ZY+4z/OCfHpUdeWNb8Q7LMDg7wSPR9iUcBYl/6zpP9Z0jKW/MPDSt/ZNv8s39R9m
Hj7CrzMPN/Hh8ogYJjWkOfELmI3fmBdU08ch+JPv0ux3Tvj3mRdud6Pjjj/kA/4483BBwWZEwxqP
5N9mn/07Mw+h5T/NPOz+uO6AxgQhMTAwf1zZe85gA9JM3BHS8gN2533J8chh0zzPkV5h4/TUxcye
2PvE+vvYzPd9HcDg1HefZeAJiFfq0K5lmMe+XFO+UD+pg3JMYa2ySe0sXlZOzEmikdoMm1h3P/L4
uQytTEEC+Kkh9oyAyQXs4YGJGIYpp9yP6/BcMC5SO7IbK1c8LaLRh7mdTryrx6QJwpNFZwLqSqIb
cPsfeQgEPVXsGi9Rk/Wyuk5EvnlhgJUt5E+6C4dkgaCJhFOk00bbG9pHz6ZAEAak2Uvcimdq9Dlu
XBS0tI9OCH0NWzeI1PJjLwtYRVxk14rlHNngQ9/XO5c7n7zKpCB6dxMZIxwMw2WIxIvH6K1fdnVS
hmavTdhDYgzeppah+8C0WHIiKITUlgm8xW3mS0MR7hrXnLF+zrXWK+KL3Z0EHECWzj+I0qsSs8y3
S6vnhNvF3YO22dV0/GAaXYNQcvvU8ey9X9Av3jQ8NvO6g3G/A8/c35uA7tayO1bIwYDMUvd0jj6W
Y8HzIVhfaIUZXS3hkMGD2aRQMcXOr1YFMBbtJ2mv0vTRzi3bk3Hb99JCLmaT95GW0kXuwytSLH13
tY6827aIDobxh/E2KI90xoRa2JmuIO5gJNhVkcbIHZFxmGydT/6kkXlgLyUFNzGjvCZpRbXHAdsn
TSe+NBEVWT1hzHmju2sZEgwEdshpPVRobcFJU3+W0n/HlRDv8FPyAx+D2y39AV8AR2JXd3m9tsGT
HzYIuqGxAccSKmb68dSF9NiGLiJV5U4y3uxcpO3y1Rgv9Thd9+z7QO7DecoX7VyrYfka22aRaUhg
1CZy3NsxUPBtj6fAGb0UMvUhplBghFfUSElFLEMv5sFzeL8X0rwhB/YIKioDuZSTzRSOty7eR/Gz
8LWfluOkHwBYxryKucmbCN0wK7IOMGLNbg6YBrYtbD/EGnl2r/ATpJWPfUwvhVZu0jVQUFpe47mI
QCmxenB3/ig8HJyU7JzWh3CPQMl59fpr4ZRffL4E16noPjAJb8SWXT4OgLBJOS0IzNg5V4FA0wyx
d0LgSak7WBXgJL8vovBSdoRkA6mDhNb4Afb0dZrckxLXKgiGREp2z1hXHA0VtwbOg0RPyyn2xFfI
tEMyrvVbF3RDHkFuyRzjNNlg8f5YwhFp9jHkWWmdvb+mtX31uP9Vy0tdH5VY8kqMazoWeBvornhb
tzSXt443hW1ccFnOgxmCQ++WDpyG5ZPDm/dmxiPjoaknR8R0p2JsY043JJDUQOO17SNSwt9iLZaU
G7zv/DbaB6LneYBwdOIM6JfSfOyhlpjwxu27RwfuiFujkbpDLrbOo9gWmbHaSeeiECmXRMCTqG+0
bGBriPoaVsHqoZR4N4cBd4+yrUtwmnjFkcVDon21V6jQkF4sYJDqtE2H1fngg1iEPxMPVmnHInE0
RRa3aYqdXqc6E+MUHECDwlRbnhpEV7GyjNcu8M+tUA+kII9FWInM9fSpwKUZuW+tQYmVkLIGqe3K
lyYGisup6mmdqrk+z7OG2X3SfuftqqXoEX2oFNhYXv7S4/OPMrPdQPAXloOfGub/XbX+fofBr6o1
KkZQd0/hYIfrJ9hM7L8tB6gYwZWAHozsPrTjDSv9uhxAe0H6D80kW4/VjzaTX63vuAgDhnk4sH5Z
Kv7WcvAnzRrFJpCr0ZEApTfCBQx/XA3UvMxjB7sr1IJ7yYN8raPsp5/OLzr5z10j+P6G34tPtioi
kI6waYb4DiEzBdty8lPZBMVh7c/RPN+poAYT/+SQuzi8quDgFveLvlXuD/yNqNXvAaGfPx8k/f/P
Z9y+op8+o2eYrBCdRSBomPFoAwbFyaoEpAvBhbouUrCTnsLhljbw+Ci6o/U65mNhYAabEOLP4RGn
rwadcke68R7rOASZqwQGNCsvoWifeuZBq5fkq3aab7FxXnqLGjzXC5BvD2Dh59iS+rUN4aMvWS5b
pwPYqvghaOheIVK9g7vO3/GhEvtiNbDNIyaEOOTsI8GM2AAg4YOzsHSYqw9Y3c5x6IskqvTFGQu8
SihB6ICSEphEs2AFzqPLtdjGcuFgmRDuPdjYBDvKsSdzBUqTn6FWYK44H6Xj8kT3r9oigBiViABb
lbvAUdUU7IOBncoqNGCCxLJzkMXeI3J7I+bIPkTfIznyezxHbEkdishOvWV3xu8xHjts1WpzJ424
a9EYNqF157bvLLz1arJZh6H2uSHsQuly4wQdtqjqaJrlRsbFrUOa29XSZ7eNYbJxnBjz3N9Jr/oC
wvtr64gQvrXgBofBCcHaTDfDZSqWfJ7X4+pX98SOaV+MWWXWy4J44szAg04QbYCnl7PS5HmcvRw2
Cg5Pv/0YtsDdRbc2t9Xc3/fNtJ/ZctvYBgRhEyVmoGCBJ9CPo2F9onRDkmBtc1VHH8dpBbXoEL7z
umE+zvMy7dvCU1dWjeulRQvNDj5aENVfY2e5C0r2Qc3ShU2xnQCoJcLk3aloq3sYGh4W3e9KBy+L
QKSAVXESddPXqJxhVaQ1vFFLHs8dFBnjZtBn0deGbNqMPUShYZAuwX6RekeCIpsogy2ZZEKIB9sH
910xjumCyEmC4gL9wazlB1rgqILXER0EL0HTpyYK5eMAy2FaV/JbDxTeFfHeX/rEWnTRoTAodRv9
ThZ+7mcK+wQ8l5hgR4S+we/7VU7BDbgFvy8rfROENVJb3d6QMG8j5OBNcVZKHGQIx6edslA5twBB
mbc4cHPQ6wqRNSkquNF8eLXH2H8KpNpMX106Nv2S9GG7HhrY6nG69ruh4jOaTpxTo+yjGpYyAX1w
W0mBxC/J6lrjbV2A0p2ZBw9M/VZH7EaMLQ7kGtnoRcGGU6ilgxtVs8P3sfbP6bcdAX/h9Puf7u2r
kP8BF+Ov/4yLcX+mF7IAV76EqAv9/ehz/4XzBu2fYI//GByFZxmOXzRT/zAd/NzIhfs43SgELP7F
xxD9LVjs/dnODLWMoAppi59BUfu30JcYQtuEa6HuSOs/Nli3PBWeu0BdG4PNfNk2Mk6QN3GDQ72u
ddZtW1ux7W+TmYuEjMOYRCueLBQ9fCABEh3lELnJEkxwMFoX8HRbgGN8rD4SZd5igz/GXHqbv/ZB
bvuk7QWDNcncOCN2za4H6w8l20kdExZZtO2krQZHLqdlvCVYWCOESm8ibftL7cGlKCiEZV6AhvK2
VVch9Mm27ZeWSNhY2T+WPUMidFuRiVTHETszqio54hdog4iC7h2dQU/oW3E2Rv4gsHHDwOMmxahu
7LaM25B/Bj9RJ2M4w7iAjb2Xx9q9uNsWX75JP51ijhMHCa5Fz+hP2tb+CAGVrG9Nk3lWDfkAdLBY
UKFmkl9n4AZ3ghs3JviGpC6OCthidaIhWfvcsZcZsMME7DUEDBEbHolXBEBiQBTJ5X21YZZA4+gT
xr1rqNzwzJy7MFunkx+pZOJcHaMN/6BF5QOmaHCNAY3gSb2qnqFEYUNNlVu6O29DUirSwFQUdO9Q
iClvN8RVNIuLrlh28QDG1rkKklCWWc16YHEF0Lsht9FH7RNTiBDTGH08FCUMOd+wHp8I0h6Af9wR
dQIXw34k9Uk10WMQ2zd3Q404eZIJ1GCtyzgT8F4lA3pYkgFAcyHagzAznnwX34sFGI3RMZo2hduT
+yGY+ge47PGJ0U45NOLOBvILzO3i6KFtEW/wt1hUIpFYXk5l477IUd9IhOgyBxGprFr8d1AM7zpa
152aDLYHxYoDql0+d3hEkSP0yrRBzhigYX4IPa7OHSMnXdefBhujDdFFglaUe7E4l3FdIVii6RL9
qAVOsKaA0U2p26m2eHz0Y8mLz2MZsUPvo0yndrqHwvplYrz5efSjYzNO/MBCcUKOtwVVTLsdU/2R
8vCjLEmJ1ayn2FrsAz7mcoHNUKNbQwgIXlSm33tUtEQhjhtvL54BroQljmZuETwrUYNxsjDiKNX3
J+Wh9dI4cPWVazUiU9QihWiUeOGk4IceR/J9TUMkyvwxM/3q7tjcPTEPshefSlRX1EBxnqjwAg19
XrQ1IHTVVHjaJ++oqo0UqGmZSW8+EsvIcWTlMXKLdk/xtSQj9SG5bU8pQ/0CDHs2EWN/CCboig7N
agE0WtcT0uGt4+JJC6YUNSsmWYMyymKuYH13UZSD/0A66L6GUUko/dE19TmU80n4620cyAcdgTGy
qtuXDtp0+w5ab9+4t9rMHysBXgqk3X0XzNcGmjZrzI3qLApnodw1esLAEfUTqrBOgSGHVanHiWH5
GecepnSBbTduzaVRYx4RKXbdCnbLk+amkP61wXKbm8XNI284efPcY7+eoYMWrxV379A3dot6tHuY
mqBjaPW5KLBVzo19aUsw8MHIWI4umFfVRYhsghBJJm94FGVwNs4gct3iXYM+vLV58uc6PFQB7UFK
bui3FGhy2vDwP2c5YBeaxP8azb0h2R+Xef75PN8+xE/nOWosYTIEkMPH31LUv0FZXAAUwF8Ncwh4
8C2P/RuUpf+ClciDHxB38v6oj/gVydJ/beluNEpQeBC3xNPfOs+jPxVBxF643TGGfNK2UmxXsv+M
+9QM9Qt1S84txLs6bZECqTCZ+pb2SY+QwK6J1oOjAuy9ZXeFyyZOdYWI0TKiMGedRNbWE5zMLprZ
6hlkIKUC6tZaZOPIFvg51GeUrz2hIel1IOPNOiNejb5KhIJamQcC6GvwP/JYwtTQ1RlH/ZzxajRQ
jP4XigCqjigaWnxyjYmzJgsrQoxq+UxM9A0MrtnVy/DQQbOP3M7NLdqIktmJLJxk40swI0VeuQMW
EGfZ1Whiy0bh7PqxmWFVlhCq0AMWFFjk1dydShstVRYWwDt2CWsnK0zwOrTaWa81Gm30DpbLpfMx
TibxOI81GWB4dgOeIXOOY2CJUSshN3/y2uWwf0fpuPq5DrGbN059P9frlMR9m3aCwQxC6q9TFL0X
MOBjq4eLwJ9uW/3RU5C9inVBfV4MCOqs4iEybpO4nfdatwpO51h6oGVhVlFwstBCqdNI+s+jV9YS
y0MpSB6uGmCVdoF3HRuO4VZGYbaszSMp9Q8qVRnQv4YEL30gnpAYFneDNeKCruA1RR9VDlnzzufD
sW8FaAa172S5a+PohOXqJYJZaoDTfD0KinBxH5AjtD6YG/F9o7AIfHEBS1xCWuun+HqeAVuqE1Kv
YB7x40uYWzibGbO7Kxh5bJE423XAtHAeReegq+AFwcpWPTXK8RAAb0EO5e4CmcNbr0TZBq2/CkHR
VoAcGMgD1+u1GNE5ZaV/B+kEvXveAamia1hHx6K1+0bPIAmtyvTEMaW7OxPDt228zUuvkbPCK78M
SVmH6B7s0AwQiUdsnDBjsqfOgaYbS3UwM38cenuRS/Ugu/mlmtyDC6oEYaBySOkYSlho/b1B0GcH
9O7tTLReaC/IGS85aMm5fq8N/FYSX5uDQF7u+0t4AG+dGBvtfRu+ehJNcj2BDwQpL8uLDx2KPY5r
OPGL7wQPcO987h2FisJHObsuDFXxlZd1NgCs9oM9Seo+kbhecDbWe1VJaAE1dlzfv8GVbq/dzCtk
HOhumNYo8cchKwdepa4DwX5cl7e4cEVOuiWz1N5ik7orCXtGQdlZKAdOyE0zDz/7A6EZKeoHy8u7
xQ2eR7lAlnef2pG4OfFgIUIZV1o1zm1B4n3d9bdzNbEEKfbPugi63EcuPEZ3VOLr9ty2+GMwYC7T
PKHsoDsyPl+wvZzxJ21ujO+fUHeIMBFbWm/nVtOaUovOww8lwI+Hhhj+qa68vA9rtBSE5P+xdx7L
cWRZtv2V/gFPcy0mPXAVChEQAT1xA0DStdb+9W85M5kNIllEl1kPXpv1oEZZRES4uPfcc/Ze+9si
tNs0Hp5aa/RHa/Bmk6+gmM+dWRzzHgk/lYerSL3Tdcq2CavH2cAPJuOO5MyhX5hyf2NKdeai7s0c
5iePcd/sOAQ7mTAEdmmq10oS7hAdXssFiuB5GY7aMIL81YpNUDTmzmqqbZQa2ATSh0ROLzCN3RlF
JdpYN266SHXlKjtGAAxSsX9Ic/XcxNyLvBre1JxXTcRGP8iXU5b3u3DGWZ/EwzaT60NtyTc8JPuy
z3jDmu4SOpQ/GLTW6FY/oo51l0jN/KEV6TeOB9oiB0ER1waXsFNndSs2qt81NPuXcTuieWZkczFZ
3abLlutuSDuaJ/VRUZrDVPHImrTa8za7A6f4nI7xJSOIXdeoX1sgMVGp7yQluh/a+KyZ7S0SkczW
dJrxGsXbYNKkAseZ04ZZgJAGcnMxdwX6dJk3TBqPUZke4qV4njLlbGXIJ4BNcn6rUePq4kYdYh/2
5aWWl4fYML/9X5HyvUhhuv3faTi4X7P/OCEX/5X+iL/wd42i/IFgnqm69Bew6l2NQiQOolmUtT+U
RD9qlBUDTlII7PAVsit+byn/VaQQdqkQIYJkSNcVHBT/Hq1K+6k1jVkc1RHmKXhagKqolz6027ug
T9psKeSrArCAmMYXRpg6yjB/1gP/rsL9qeuOI3xtkzAjgPCsfRz5w35N4Wyk45WmIREkx8JUPW3p
93kMi62U2U+F0YAe0JWX1txf1Gl1Z8gNZETOhs4IQdVLGyk9DI1muejPwSDPHRu5VtE8HZvHsa0q
JzcjVKSruThqs3PFBzosEFelGKO5MwqYdTWvtgkx0FFgmwAfMQ91Pq0JHBzkgPO5lqYDVUkLP9AH
H2Z65/bokNw2ndA4qg+CaRwttachLCmPrBClw7D9zLDvRsinkyBopy4WBwbRdM8hh+9gCZ7GIA+p
mqQ7dITs3+EwuPKqUuyH7hokoT+q/YNlNl/l0HgO8/mpWUfeaW8ggZ3jK60JDjq4PR892la3gmbT
Rg13qGnuSj3cxqYaOmQ4HCiAX4sxSv0hFysk9+iWsnKqXKFfKScMHcn/WJ6lPF+dD8mlamJqWOcB
QqW4tZ4+94Z017ThsZxo8pbSfGPU/QYnzpYptwBKB07sqCoxB1GQsJGsnYW5oubqatMxrGerY9qs
EOpQ4/Boe5UcFbokJhpw7l+yYc78zZyZ+4u6dhSGHg1mAcmnRsksGfNJHoFVzkinx0iK/VTKrmBD
Jj7b+WbJ1WMYBqHdSerGGri20ZiiZ9C1wa1q6xn7zpZz2U1ZLLOrLO19rNMXCOEEUvhl53bsd5KG
5a5RxDeRwCA7HOf7LI61zaQsZNdwsG+jZABp2HyRMvmLzMbopJO0LTNrR+dPQq48bkAeXedAnyeA
9BeGshSOnhVvS1I9RkYbOble3iIUTly1NtLt2CsbwxgdWQl8PHgQC3nEaDaoY+RJU1S/FEkZNv5i
Cmy/mj5hBRQndll7lhsYmepYF65ojL5kjiu+pJn2WaZx0iVeRVwb56ryZRStXaxJ/rAw8ocrXw33
qaagkgtHSVyIUFn1v5MUu2ki7xRm1hK8om4VNJj1C3L3GykVvpoWt6lGwlryNILVGfAytR2djdEt
x1TaYTkEEDQOF2aDelzAnaTFNOuHdohXEtz4pCdG601hdQxjMXDaakJivyJCWxyJiOy6djuO3SME
bLrfVuIMiQhJtTymOq+sUqRXtPjwjQs7MkhUPDxR5C3TDLlqiL/oI9tYMiYKUEjpBmbvZiq7rylC
eGdiglbo1ePYeLQfd5GKqbITtrNuvODefF60OXWMDGDnnD1n6nkYW3A//b7i9JEJ1JZF48g+4oLI
UhmCQOoeFXU7yMx3pAhB91ING8VIOipOgFPhoD4X2Ce7qRzdQGgaRHzVppeKy7kcn5qSbJF4Vu9J
HjCPlQAj+na1FoWm2gRbxntS9tky+nOHmJcGaAOjW5F1SMaSsQZo/XSibFumFLM+X42zY9jqJthP
5/K4oywVXoqHykt3tPvs4MAsrHdJA9q92+l+MTpdG9A/L+J8vGWw70D/Iidr/XrvBplN0GuDoPfL
1WC8VMHOEjl6Tc9Cmf8p8/uXI9NffQ6j3+9TZZ3IrA8HZ6tjz4pBtV5J8QUxCXaWfbXCHXC/Tz7n
593vz8vJ9WQPxG5t0JL8+ffUqGm0XorEK107NDoKTvQV6sPvr5n6q3v2/sd8+JA+EsVWRtt5Nfjt
PT1Nb9iKX0ymX3Z5zHnG7BtwFnbuy9u7k+lm9mkgUui+9QLvOtmP9hZj3EXn8n90S5//efe//37y
z12KPy/Cyqk0oLxg1vkuUH53UzNw87geROkKrtspuAZQcJQewj2EdnQn7mzvn6TN5Jxqf9wSEZMf
8IFcA7zy0eM637/K/42w1mfiX4+w6HYRqWe/NK8vzcs/G17rP/5RTCJmX6dUBqWaZaxc53fFpPgH
MnVUlUgnVsQpldwP7Yb2B/5b2k8mvENDEVWegB8dLwWUqkzioqJQnFFm/lvYwp91DigqMO2yQhFR
I4P+0ddO3fvlQYnAjGE/VU9R/ry0p2l6endZfrH8qNLP79L6CYzvWHoUcjR4VD9WkX3Qqh292/4E
0t4D0fKNCDWEgMmN1nTfgDW7tLBiF7USqESh2CG838J0BlhVQe4R9JJxgbIpjIa2m3iboMlT2+qL
kJGIIK+EsWZy2i5FgR9ll9h0tPRCGbpauQxz1GH2xCYdchEdLapzwsDKecGyK2q7KWqDb+BIOPJB
MnYpTA1UeXH2pZZXAyjSD09tZfStYig8Joy/XCtV3/poyv1OMkJHTUl2wT1Vwq0zL43KELzMbB6t
JlQ8SEvrMEYFg0J/G/1G2QG6URIbJDjVcPycyvIFXmrXsnL0BiHokqwot0WByqEhXyLQMnoh8RGb
rcI8vXgWxBH5vjp9o3l32THIQBm2LH6vmm5YdWeD0DaBM6dCdZWKAtkJ/b6rxBJy7Xw9peY+WXDg
h0tDqZ7ua8N4CaRhtBkNbkNsWn0av3TMuhhlwafVzC2CwUuB4A/6dW4UyE9Q8fdWb2zzWrtQixq3
kTwcM2Vx9Vyh91Rv9bnGuqta90m8wJZMs6smAKnULrAsY/GpqmWC84QEOaR622X08DCSpTbowzMu
upLKfwJQZsa7OatjW0s0DW2rvhHruGU8SaGrWt5Iuc+9WF033eDjP95PKIMtdXhQS8UBL3HSW5gw
3XKZxupNlBNRSNzJxlCHYzQ2u3Ied+GUPEQDBWVujdtsoGkjZ2ddYifskuwB9/A9uMQHPej9ssFz
tmi00JpnXe1QL3bWRlDap5Ifz3F92gjz8iXNDG82IqcJNFdJp4tqTEx0qhjx1Lngj5oAJlQjsEPd
eOYt8JM4eQoDJKBTC4tQQM1kVPW3uUy2Zpd4qlI94wh4EgTx3Boz54kgcYfJckQte13S4DqFHMcQ
KrxIiVHagIBLbVUwbiMSDuqqjxy0QYwW8/zVkjieCQAnPHNh1GtObbGPkRJDt5IGV9PPiaU+9lVL
NIdM6xrDAW9PMp5FKTkIfWXacg2BTqspcwVJu5lMjIv93GeHgQPhKgptPSurkFmqGKnHVj+FeNK9
WNPvRd2kBVwH5ivJDRgnoQmAtav0nvebQW3r5LOAiYyWTgzNNNYvapQyrsWlsJW0wh8owOOloxm5
DLAaAlcE0esW9KdEG3FgMHUmYXmPkwxwpBnNst3VzaHDps7ks92RdqTakkLtKsl1u8UklHhh3F/o
YHzsNq2KjbRoGyBIFlWrjOpDzSqv7NYhbh5nlwbeC8TNQnvN9Dx0gqB605b5vgmUFyOFL6xIxySS
cseSBMGdM+EiSJl5Spmk4UzVJhyTZX4utV7gVTWC7KFPi5txgIgCyvZSxR3CyuI0ierComXcXxUH
ozZYELG6SMYK+gM8UjHEZo3ah3WwJX6BAS+zvaW7yBJhE2nRUczEh7QZHKUXyZRkTFhM6bOaMAdo
ofUxENBJdxDBhxF19VqNgAQWDLDA0cl8uU2lfPQH2rOKUcaARzkHRuaSekscN8fFTE+KXG1TThdS
zZhhJXRysKSfPGouS95OloLeC5l077J5uNOF6jaXc+Radp+5uJ0iD1RBbrHm9Bgi9ZIivKNHHwvf
6jYSwZEyaOfjVLepdPWyVDLkbXNqDNshiYZNoeYzcDAreghqPkHus9siV2I0q6K17+cm2WdJeCqo
seHiK+YOHm1kq6Vxq9VEL9kqTgO8QvTDZzUIfPict3ow35qFtqynGQ7Wfdn6Wh9KtjFOfjebwqYS
B/TXcw0Rl39oN4PWPzZxZvqrVR0PZQxcEZ9qt1WHgls8Vr5i5vC58vJJHxgIjPHa3fb6FkvEbOzT
er4To8QbAKjYZRXd9ZmMLba2DvDuh10pMJQogwwmRE/0UCWKT9g2FFeZ1Pqxh6rlVmW+wK/lQTeg
ggLVVh5lGpTnQNYmpsqCxflA/KzJ86GaXuHqhGpRaiB/gHq+Ckvfb//wwXSQFUlBxE3iwlPYaegA
x6b1f18FyL/+HNSbaBIVXvsPPaueJCmcwVFxyrPs2OryHavSlZnnzyyXjT3OFjdgzrbDVKHkT7et
HF1Eg2ybcnFgpbogRBTsT3odBQBZa9FTInIzLAJTw+Br2escxHkF1MU86WJIufZ3XfeLAuaX35yz
E/oelfyt70SSd6W2lvcltO+UoCjMe+F8K8Kji8pP4kyt9UDx7pQGbB8rPE02TIpcIx70n+9D26fV
nKdk6ZGl09IrUXcKabe2GNTsG8MAD0kYHkl5K68Li2fQEnejOa4euYqFioHgkuRIAZf+moBf61yw
K+HuRhUpMdRD3uFoMmEbWhmeYlzDaFS55jLvjZ5jfZstbbnRpOwl7TJHyhiRLGON5k3SvSiLUy/t
lDehkX0NXDDY0BojimpJTlnDG6SxZbMVUdpE+q5e5K+xyqHe0OweM4Q9GdlxXiCwG6TUbUVpTI5i
VOX2MvURdVMXc6RHKyzF4X3QS/ltPSL0t6TwQstXab5edVsduMVQssVJFSJVog69SpQvYdAUqOxR
YUpKdhGILz10FShFrItPpsCAwBil7ZyoT9maT1QwsrIrnf4SEKhFpfQAoJ+6RtiTCivk26bLNTuX
pn0vDi8pXJk32mwbUYerYmTRUS6Jz1Xa2o+VFk6MPN3kup6dLDjHkr5Mh9poPwmTBbz5i+eBF9Lk
cTCxha1A8/fvZaAQVMR/606IuF8Uq81duhzZSRdqUmXb6DlsyS/FLu9I+uSacdYw44LLa/BDA6Yv
W7Q3x44YoXGRj1ppPipqEfktszS/70V1R3goJqGYWSXDXNMTSxUSDJu6O5L04+IDpx5hIRLzEl2x
Vp/DHAuTFLUluwEn+g7RWlHVPnFfRGPoLzSPNWeQSuAuOb4feaZ2nkNX6SRXJynBaTToxs2oPyYI
isdA/qIb5K5WI8sA1ni9mG4DK7kwsLDX2GB1beYJqex+ls/aMBzTJDrXsXaTG9ZGn7tHM01hZjNU
9PS6pxasBw8J+oCBq+Wcy7BaRPvsSrrwIvBMOJWlPEmK8ChFQ+3WZGgStcLkaBEILphKT1KbjSgm
O7BCnszEmd3IVVNsOKY5HgzEXKM0kCmcoUzOultlrE6WOeE8mV+UUXyrlealAD3JoPkI89NNh/Sy
jKYLo9D9EU5jZGAJiguQhFZ8nVZCuiP5zSPAyNOzwM2r7wK8kHMJL+MgWNdj3X2LDQGP7Cw6ap/4
Xdenjt5GOHI7R5J0YsKUTawQ4myCV/TUcHHQCjKF7iF4SYGXSuNDCcswFGhE06QLo9KXU/Cn7OLR
iGZKyp6GqvXxQBUE76BJl9g1s2D0mSsgzcsrKGU1pqFU2CSYs5YktQ0LPuMo0clrRRbdRZb8RDJt
bTSvQAJvw6I7hGN9UZgaVW+XkeRVrWnSmbFXw/FQfVcwlCt1soolsvCSbVSh4G45JWS6k8A0Rx5e
MAmnpYP/Z6SOOeWTr89+qW7Jb3hAZ4wASjzqGsRRIPkXSTS29hAEEIXkAUudxiTYSIJiMw4Y+akb
tkw5W4JhjG0zUIUYZUcuYDB4oOylT7a2T95UZT3+vtsf5MiaE6tKCeNi3x/aY16gFxtyJhyXaXOU
OLH8fj/60Pr5vlO8Wxk+JpXIUVRwumBlKMuvEmmM083KyggfR3X7+w9aw27/sSfpKtNLaFuMtLR1
Z3z3y8a2G1B2DNNpkWYkC/HUOnEg32ptSKRVKfDM4YSsqhjhH626o7kCIPQE+t+SLKI38nedVhK+
kad7PRWKaQ9Kfw+B6bIUjXNG+capx+la+UwPG4QKnMK8i5/xjD4IUVbdhH06QDsk4i3X+oOWiDaF
hTdLyDQp8TYFWs0Hcl7P1cKwWtH2vdLtoG0dlnDeaWQX4rw+NGzbxCodUhmSCE1owBEOuIyHvGq8
OAt2YwXEM5ugl2v5yyLOmkN25FONsORBXuEwcquEn1zVn/st5vfb9/6irm3UdxcVhk0RN4E5nczp
OVpeZ/OzJM1PbtqHjQOeMjVymM6n2DxXiWXXyt0nj8XvP+Bj6i8p3amYyuF80uSrmD47l0mM5j+7
iv/dZvJfVwmIAyWppGFg+vkqTUY7Rq3KrwA+A1u9G3NqkjtQ/5/cDfnnZ/x7+4t4IaapNL8oTaUP
HzQncTGGSwVSxZbe2NTc28wPXMEjY9N5sAv7Yac7w8XrDTb6+8l7ybz5lTe63X7WpZfXPtvHAvDd
a/39i757LqwhtiorZBmBbOCKjuhN536TX0e+5YFQxPex4Tr7+GltMis8y60GTz0Vb5/c2199i/dP
57r4vPsWWdCCl2m47o/TTvYMu/OtK8PGdWVH7uZBcy50N99YJ4St2+KsbW8DN9xMW9Y9e9mQ+Ny6
tM5cy4V0syWd9TLCe0IP/B6GwgmU3UbbWbvyMG6bu9w///6rfzRs/ePF+lBBC3IbZ0RN81zapV35
7dfKr24lt3aQY7uRG3ukK+3LzdXbhdfvNIcDe7JPbGufnDB7OwHpnPaXwPmsUf9z8/Mfr7v+YXeI
yYhuDJ1vFe0sO3KWbb4JbtHGpmS42LpNcqAz20DoTvVWfqaR5v3+qqyP78enSlf/6z36sNqw1Ahz
W83TSVxKzxjHAzETp6HHJ/D7z1lXld99zodVx4xNZRiWDGgiXpthfBOn7ai/ovmrGTcJ1Sdb7q/X
0L9/1cfDpJCz+Gt10p8iI+Xkd1OF17//OZ99gPzza6BMJmq7nANUqh3khD6g9Zmh8ZMbY6wv4rsX
DTeFWWBymE9ldWrz1K/kx6U3P7krn/2MD4tbK2Utrvukg+C6YgMzx5oS5/dX6rPf8eEB68ul7YsW
WuY4TE6sn4jJdbAx/v5DPnm6jA+rkh6Ewkxzjt1g0iGcFF6adZdr3q4xg/Ea5dMQxp9cul/+Ls3C
1cOcBSHGh480IeEFVdz1JzX/1iR+ivUA2+Xvf9Yvb8+7z/jw0mSh1QpQq6aThkdFEK/z/JOuwmcf
8GFJXMgqUpKyHk4iizbN6FTJPrlM3/fH3734H55j4nlMSHU8x5wN7NoJ98M2PXJEcPYQ8r3wkryT
w++v2gcQyY8l9e+3/ztB+92rI9H/kzo5Yo96pDFcsKoeQz7bHl+I294N9hWWef6DrXm5I9nmtWDf
YMthV796qq+UPad2cGNwIuxt4USbz77eLzfy90vuxycnbgjHCXjppMt1IxdsAEPqrpAcO92o7kNh
70V7PnwTXzmcNXfzYbTHT1Yv1GS/X40/3PdBaPWoRpF16tzBXdx5sWUYg4fMvbFO+oWy6d0n2Yf5
T8fWbzZQvh3hkxX6s69gfNj3BCQfajFW3Uk4lDYARggvXzRfco1D/3XaVl5+YWxAJX0D6+ZMm/Qy
dJOvnzwnv956/35OjPXtePecpNALYCHyaDb+5Nc2WUtrVbdLndthN+128Vq0nMi+eABt6uZ+tTGu
kNC6vUc2ox09/zUo/5cl7feD2T9elf963T8KMUzBYjZUsKTUnrrRYUe6k7/4ywUgV/st3AV+6pg7
+I12eTE5xp1nUh0UXrdJ/XPMSB9LkPf9Cv0PjO7XP/H/YyYpHABep7+7t/86k9TL/sMtG8yl/xzN
r3/h3WieBFHsm4rKUUNeA3HeeVGkNaEG7IfOLrA6SH+M5pnnrxgGpvbfx+/rAvVjNG/+gdyHNBcN
uyC4HlSp/wZnDo/rTy8ypxOTv4NwSMSLYiAQ+LBD1GEwaQLtp0syh+/H1V02MCUXUKbaRtI2V8Ky
etDQsj1qKtEnlpbVTHUFg24JiX6tMBR7jsM942wkVCLmNuAqBvN2kykEQ2p/UQnPy9dUcTSLjdOp
fQnCwCKyZXXNJdjnSGOHgD2ZEUBI487CYofoq/D1hWmOgf0OqUq4bTDkdfH0EIzAGYekOjflmq8h
xNZWEsO3AjvfpIgHIe9PpciJAHKohJk0kfxZw0DBnOoiG+PNvPoDS4yCcHmegk7ed3rVkvZO/s8Q
Zn4IJcDpR9xl+qS96lC1t4z+mM1O2uxb5fRVL/WvkCoSl8A4QnOwLlqT8ljIZbEnMqa0GYW8yEN0
Ha1+R77mm1XklymtcIpXwxEgFpT3E8BMHCvSJpWgt2mg2pCt+2FJTlYAQ2bR8q96JnnTinUrs2qj
AnozmvFmpPuzBZGNkX7QiHYfl8VNYkH3emG6NKJRsWPgcTEQuWGlyQEV/C4cKGmjjqT2AZ1jIL1T
9O6ZLHPCnBV4Cj2AumUl1ZniTCQA3birqYXzXHXTQroZijXrIhKqb0sfMTCHeQRgoFfh0eIhUZds
2uQx5Ks6TqxdVc/RtZLKdyR94UWcAc/KZmQvYao8LaJh05O3rP6217Pw1JFms1/EvCGZWki3RC94
I9J9CeIPXVcTIzLoJzwj8f2KhKLdTN2qCGBoyE1C9qBXk6uVHWW/UF6FSRDYeguDVBdvDQEX8Jjg
4O3RLWf6Xu0LLjHs8yCZHiot/mIo+UUg0HEspJoNnb68bQj9i5q3gH9U5QkjzDPqVwasobGZLZWD
XpRsZTE810bZulO/MNJWCBtYTH8uUndiuFBk6YUeGEepFxATz/M5X4pv4uqaGXpTt2k2k/+Whhrt
1+SNpvGjJpNDF003WdRdzINwC2fsuUPNxqiDdkovHBiMn0QluJuK5DCPxL7UgXwf5lBfoya4DSbj
0CVcoUoOVV+pkJWmpnUqZPUpMMY7nageOwvJtpkEFK9GLL62qnUzNpxDq8aXg9V/bQyrseRGmfkt
eRBfN620I13Z4aS3D3E+9zptVUF7DefuflUTh4VGtqV2GcXLVmlypotYVdN2ftR609wkIeiQNKaV
wjIHtrEWANDPBPAF04CnLG4emzbfKxYdbEXeYRG67wvCIgcmkE6tjDsCG2KHB5bYTCG7IVvytVJy
guhSpg6Lbm7WKHKPtDjTI5qo9cDy5z5Z3ttFBUlGIlWyK4zKmVq8sTLhmeuKyyqF0yZVh6uSmQuC
g070ewxMoYgrWAKbK3IJWJOulVk/Jr31hvuPZ8vQ72RdPSpqnTACJwtxmCuQ7esS10QLkEjxLFuF
nxkRULCqRdFCDIoladk2h6QlZR1Dj7zTHZ3nrV/CsySqr0YOuTiUzSOhzMEmDIkUQV5/IxlKQ4hn
KjmzbLzKMYMnqchATOqVNytMVvIYUgsrqZ+St9d0S3BO6oVefyPdFvGA+gRQ9FsVCYSRDQMdf9aI
OH4Yo+GysaJtrpnf8JmNXgcsjiBLkWDRupKcuNVglyBrzx9yEltD3F7hbHf6UHpkMxw0s7m1VrNr
s9pel6V8LpfYAtI2KERPL4/BgO3VGNpXvRNqZ+mbKyRNpwg/rYKvdsJfK61GW6Vo9tkie2moZl7f
adf4ao+9JZAasNp0E/y6Jr5dUYC+36xWXgKfRIS2/a2CyzcOiFzA9Zus9t+UiSbfZnm0VmdwPd/n
2niNEuaK54GLgIc4x0u8aOCpujUSdRCJzVoNx+tou8CBLOntXsSRrIrTXSHjAMSprONYriy1IFmA
t3o1MxuZjmp6NThbOpD6eDU9FyLTE9ZYd4yrbYEvulkN0gZO6TDRIYKu5mlttVHjpaZ6qpLdslqs
hXTcFd9N16v9mthceUegSuxaqzm7XG3aqdiAF1+t2+GEin81c/9PVV7vC6///F8Y9kyF8q/LM5+E
zOJXJRn/6u+SzPyDITvaHIqyv3SPf5dkYDCZRFB16T9wVj9KMuMP8FbA6Wn04675Xq39KMm0P/Dx
cJAHHPWne/jfKckM4+ez1dowlrHzgxwxJKST2grp+ulUkROBO3WBcYLcvQ+7eiiO3SjPzLHyoapK
t4j7ZWOOLVqnKA+x+loRDN7SKshQ7ZLoaVLacx7VsxtxNiGqqN8Q3eAik8c4IBYyLsNMt0srecWZ
HfOiarE3C0zoikU7YYTusDEIT+WY3xDq/DD2pZRed6Qqnwnc3VrjBCUkYEjPmxyKsXBKg8KEQjTU
BAgL4dNcddFVEESxfhVls3GlFSYjZBW6u2LrjDdLLL+5WNzqhqD4AevU6LWTFHSXtdBG8X3PRjxA
uBgfUtmKiLBOy20cJcnMFtwcx0Tdj712o4XqTCppcS8u2W2vEq5URtWbvFI49agnVWSJnWYVvEnK
a1QgS2gE9aT3MmDN6b4HHuUoFITCILhCzhIQrvBJtUIgY86IKdvCUJnZRg+wDk1sHCk4QO2MO/KS
8CHA+EL8RbaMW6yOX0U1ib0256JoZndtoDDjfUZrOfL3bRn93POshOyTY7wVFywU9eqEyTPzts4k
2S+LFMu3smqYEnkbQTEuhqFx8zHeKRFaTi0nObtojAWKRVp4DDkzFo55r1TydSD3uQOuAjSnKm/L
FB+IbDLYtOZJ3mFJxsPTi1/E0nLNvs0dIdAY3BqYiwvrhYHtQbeMQ6vA7I9NEp2UxSLSj2ArK2r9
KRC+aNbiZ+K0A5V8Chu9YhTauFVDwBKdUaYTQfWtKzFO6PGY4gDP38bImogoKR55pDtks4OxRdaY
+jxe16pUd2gVy1OHz5u6MbjKLFxOIcyKMJJugoogzp4d1RanRnPI3G4dnjc30srHPpHRHYTdvuMO
dm3va3UUbyYNLZYu1qUHS2qXD/PlVGsPUtudrC6+TbqShEqxvc/D6CZSo9itxB4145qHqXeKPUTN
zWwEt0QMXy81s28UCZU7SyMG5DieXakJrnpSEOcsEMi3Ed6aWohcUa3SzayxSS2SlcGiJcsm1Fry
bkQm3Oq87MvKuEzmkpmyqY1osArFyQeYWrU6XsBG/ZJl8T7uTdjYbXzUE0RJsWgc5pJoYZGITjjY
NSBnNXchWb00YjX6s9VdWo36OAiR6PCqD3Yy57oT9cq3fMb8mVblTb9UTodyduHKIIKZFlstSsiK
Kfb2cSm2gsrTGawlXZvFX7NZXtgcjUdt1M4yFqPdUKZo1xp5xzERrZhpoooSoHeCv3DEXFX9sU4u
41AHFJ7e5NlwCiOe7TEyIAglqRfn1pUcFgg1Ms4TYzViHGum2a4L/XaUCBUSG/FbIKvPopK9QVfY
1aPCPh92nCcE+avaCvcwyywnz/P7fOxkT7b68zx30ibW86dyVg+aUM4aQZcz47q9oU469mCzMiAd
iMj7ovoVJBiEGg151wro6bX6qAtTB5yA09WwvDaK/FSblrK1RHIJKsu4WvqhcM0uApLaEDGuk6Zg
W9H8BuOj3YlGR/IaMiWzErPtLJaz3RuYrQmPf0ZWeIa8ZyIGNiG79MHoNj2qtqSqSGyNReYegEEw
XX0dltlyC43KMpEHdwhKY5umBSQHQSUxEsmenYuc2EZ1fMP5RhexhSsuBqN2iieNvlFbo7kR5MhV
5PpmLChgZhNar7TAFIiLifsUQ7VRZjfWktmdk6g65sa4m/PgGXUA3TDodZ5skFs+KTytVZO86UbB
KSxIFk8rAj9UlRlZDG7lslL9FLQvQhI9802Tgx/r4bIpkvq5MTW/aARSoINNScl+HQmxDmAHENzc
jqKNw8/yJ6Fg0ASh6lony9U3amlXh8pFYsTwiPPE3HBOhrxEJqETDPO8j/r+SwpwyI+qTtnLlQK3
rQL8mk5hsY0K4HfLmHNvxlnwNcjLtkBxb4dw3WytG3ZKTiiIJJnoJ7XhEGbWPrCWgxAvOXoVzjdB
ulw3OWPDyDibOPEvlpaTHsi61Vw5X6Fjvi1kfIGrAN+vFOqwPhIaRCLdG3IsKHO0XjeTib90lhDE
ANoBPJFFV12MHTYgbTAt42FTVcuBLJkLUE0ueRhXA+lPnpLUIrEqHLdjozlZWvJmgqbO2oCGhGFx
TNUFDc6VBhfHnD3ykHCFLUQoiuJ4D9bhpUyFq6yJzylcJkeURd1LGkm3G7X6mhHVEeYiBnNFJWgm
VvmTZNi7Y4b4Peb0NfTxKbB6sMmSOLhj3QROGfw/9s5rK5Yj3bpPlBrpM+K2vKEo/AZucgAb0nsb
+fT/TNRIW6b7l87pi9Nj9K0QFJuqjPjMWnMlxxxVyy4e4+ChClPwSv4TCmdaFx5dL2XxkLVPjqXB
128vy0+zYpu9+Y4p14bEOSiz9IGkUqy4ES4HU9OuJ73UV1oanQzStuBwJMcU/tHS5k51tJ4DzDDe
R9HsvM6/EL7KtnqkDiSsyFWVaIRN5t8yVV+OuQmMWmVktsb2kjf0UDXG0QFJqJXiYxhpH10mKHml
7fwmfsebu2m6ot02XrluSr46FNqDHusXU3DM0DXVnQdFOJnheq9hw+HbE8QW196+ixDDO60Ilo1b
H6ZmoHNLeHsyOvWY0c848XlGckJbbNrvFhEJC1zKt1Ec8D9zgPcZeeR1aixs6PXwuUW0pXJ7pgLb
R2Oxqah0FlbrHianQKhcRme3Yqgqh2+GxQ8vR+KE/fiYMLXaWln7ZgcwtzyfdBaIvrqXQTXOHwyL
C0/mwdZB+71SgjzMJLqvh4F2tIGur5XVVRnJC7JnMTm71U2nwX30CO7EtJttyX6nLzXjNTpG0KEW
6vqGDIRN5PPo5BP+W6tmJNFX/NMECrSQupOY4YhwNGuuHuq9Z4WHQcUfiOmjTTCIszLibTFtGwkc
TWxrla+M8UJoyV2Y9jiybTtb4lLfAjYEiAaCo7CmV0sMG3cIXoUbXZAoTVSMr4e8WdULzK5+MZpD
7HAR9/WRx+cuUIzV6N8ejBKYJQQb0dRrsbOCdGcWhF63ycoXVnmdu3UGOSuPXDDMtmNo2CuKQl+C
SmvqA5bcGRETffJiik92jOLdyXUn0lb2jJYJPikzQiaHAtjGYpwRNPSc20myr6yh02heTOLTDKyJ
7GJlI5Bd+X3xiOiMoErREwCuAmOdQryx6vwWfsW4aSz7o4KJgwAeTSeFl+ZHqBgcuQ89+4V80asx
kgTVeMQbhVGbLam7miWKQmLuBlCQYGZGrpPZf6FzsTVcabx/83tHbd5JkoZkeFHVaHNTgK5j6132
bXTGHXMxRxYiyYxfDKlWxPxeGJOiuinKV+4WBQgrXSa5uG+iyD60nf4++ejPp1hHTgtY0u67K8j3
IUUekT60EgvqmmHl+vn3esh2FoTUpUP80Aaky4VdpTcm8qi8BVIPKWLYce5eSHxSnnK47Jym2XU9
T3Rs8oKw55aJnTbQJ3BVN5O7mMp4W5pUu9JInpMqWtrhOcFPEqO8HEZr79QgtqRAQEymHCPK9pw5
8fdSIfYNDFD/KrosAv3SIc0izftL2zy7jOq0qVrVtcYOUC++JUOwb8PoqfXa+1IWuHjRhIl6O7re
LPhaUvdeqsp8jkpjxx6UkzEL9pPypn3cpc/8gvfh3Np71ILrsC0J68u0Z5ud/Lds6hHYV/FxJHN0
1fRxQTjedBp6BWrdNR7LXsdWnFwPQ/6SlAKYW4NrRMmn1CkuIiv8lg3MQP9dDf3/3VXKbNT75736
L3k9JJC9Fun39o+blPkHfLXtJqZE2nLLtdinYIWhbf6lbbd/YjRlkMqjW3PiG/uXf7TtYDFmeCeJ
cxaLHTKk2H/8o223ScPQYR3jcPxq9v/GJuX3exRbzOZGCUFbwu4A2Pnbpr3t1MCA2BmusM0EhISq
m6LZ/vDXufp5j/cjMfpn7MYP+z0WPzr4bRs6k4OMn3/vb18EiJZFEnlTXlkDcIoGJ12DHT20zNy6
CvW6IkS4cMfkeioiV1yGYeg91oFnJtdCd9Qy1LPRJEGyJOm92FdIiCM/XbuQcqfIoMoFIaVUeuU7
2iottL1q5E6rittWx5mvQmhflXczRs3OVxV4HOSzOWymlWNXB60krEYkr6lKXjTfX3VluY/T+JGF
AXdUFJ6DtlkLM917ITYYY6w/uLC3Jf6XVUrs8Taq7G6pYYxHJTnsqp6Ds/NgjIldZTVL/nmPgavv
dYnvyjLKA9FA72kjQ6bLNpuG7N3HichCqgTDpCO1rJp6Q/zZhd96w0rk84RxMBGDe/rrbFSzbKyW
hp3fAe4C1Wze1yMRwWbUwgpC7RGq4a1x7YOy63xTxeUpD8cBy5lnkYfqO0u/qAEK5QzWbWCcgbJO
WcDuq22s63QgAm7qu0cttsj19Ma1Y3oZFpP2A8YgLUVkAsiuCrAq9tEbapuxKnbENKninatjNaAg
DpZj3OXrqDQZU/cCB145fTOg/Fi8nYui026cQWNmb6Z3QyYJFRDJk1bVNgy4ci8Jn71M28FYslc5
NBqiat2ocH+J4CJo35BqbGRHwZMN5tIeK8qONP/mT7299CtBFxUYh1p09artvS3GvjcUuYgHVH3s
PPtNNFm4EnH0ITLuhMAWE1p3ecfS7MOOhiVeyveoovM1GuTXJjRSsF3LIsiuerN5NeJYX9azXwuO
yh7PB21u324iMW/cLPAIALiHta3p2Lvy7opJ8X0fdM1SS1tS1cJ6HsjcBmNbrQoEYJC02QfYaLV7
YrSnOeJZivjWJO+NGTv3vOy/JTrXUKTcjziWz46RzCEJAB2sMSHdAAfDKYeIt4RSXi45V+4DVd3m
tgN7KcHZm3reKixCANLj+NzH6WwlqEi3GPh7eN70lLg+cA8d/lycv9vG4G76Wr9PgpTLl9yFUSPS
tA9amjLto9XEkyYUQ+IkXKIsYdQ2+mwv1h6hlOa6tVSyLz+xEINd48or+WtI+DLVnRMMmC1cvAil
TJP7BNbh3pnG+Mq1hruqAnA2le8ZG9MoKVOiS8rvRlsxa6HzYuZOi5gMRErWUfzNtttV6vopZfBD
LtfjVoUqvsjm6C9Nu6m7WM5x5XhjV34Gl7xHlq95Y7GqZVksmxS7LH3KMrBKkBvWySYOc+nRF2oe
mWA8m3NCxyUwvcdQOO+RPlYLjrWKUY+xybA19KE6WsJ+QbMBhSwi/qR7CjoI9Jw5N3VurOPSuCkM
az8Y2o1S3srVggczwWwrHMaV+lEOwRWchiuVhaepaTcTUxvIm9+pQLD8efEqwaC9zoDdJRXI4KYG
WkrrWpf9pUe+X10l2GvYlzL6Gxh9UnvGQmMAoZ1VW8Pkk8naN5v3Bp6qWY3ftObd6fgk9q63sezY
y5Y+gYIsMP2BZMW4U5q21nvlPXhBP26rqjaXcQCLzxFlW14mlvWYFTa5IBNQ0j4PyBGOObcWSWGX
apE5k7VtVVEvRcoaVVjZQ4IFq26Hx2FIH5pKe2Izal3rnTNdceFVmzqtXirT2Ie19X30xbma0Kml
MljlGa2ZQyO7iqoeiU0Msj+bMnlnZ0Kdgiy8jYLglRGathwS3LU11c+6zFpoIDnDE7sNn3KTd3EI
75CRxitpaYeubx47o5jona1s48+El5Lfb9FH3D1LmXAGkO/mrpqunM4acUp3bswcQik5rIMamCtP
efPNl023slsv2/E0i1WVEgHg9jgxjXbY0m4VSysr1HbI9ZDIeDJPg5YxFH2lsxuIoN41SX/lJO1N
Y4dzxbWN+znlXvMhCTMYnVzjjqXxY22Mt4FTu3voS4/F7JTHrOJf/utrl+LhR+HpfOkCvYHW6QoT
P5T+u5vdTbvSFGbVXRWCABPjHIs7l9/aIWMbI8G/fq3fVhGUKfNiwTUsA/iXx0bhd4IiiPQErg3N
cCX8tZ88VArH3cP/7iXmX+EHzRKRtmk6dOlwVfJggrQGJflsl7f/gxeRElQLtZVhzlXXjy/ShER4
x/kwXFn1XYXYSAO0u//XL/HHt4U/1Q8v8TtZKCkDIoBXMFzZ4jarNlNG0O5wzr2XWP1/XmmWwPy2
6vrtK82/yQ9/sTTsncwlneiqQuZm5MxfzUOX0Q2s++wwoTv71/+w+Rf//cvBdnNsS7csUpJ/p8hp
gxjsQGsMV2n1aMymIvcuCI8qe/x8mX+DNOs/fEFoILH6C03HPivf6+gl/ZOmgx/w1XQYdBYzU4kN
PqXaDEL5pekwwAKD7/M4FT7T7/iur10hnQrkFOJ0iLOjHZktz1+7QvMnF+2WAN9Hu8Ak8W+RVdg9
/ubDggfVcmwwHgzOTVzUBI/+9rPpheBYR61Sp9Fif7UxCC/xTqUH7O5DB+vhUHNBceeat9g1TDtQ
FwkBGv4Yc5S5dnLjm0wABAKBXW30nlpYrvkW6IwrCum/QNa7Tfwku1IJdLVqcs2N5QC7paNqToXr
foSl4OrFo89j0UQbBrvW2gOJum6J0yEsy3AuJrrwvZanLXU/E3C1HHEaLmOiZy5L3WAZw2CLrUxy
ZOmer8jOUJvaoaxtK5yjKdS6JZA89kzsRC/tXh0SJ7oQResf4Skkm0STzAuQewiKbDcljAyh1ig9
5uYzG7ei2CMk5DNNlKuxEtgndVt7SjnGS3fMDySZ3Bku7AA/Y/rDlKlcBlJpl3Xsvg05N35VeMa2
cOKPKY6fARYj+LB7I8NhSoR0acfqngkq6OU6RCFsFfsujN/bYDKfqH/ZLrHv3PRuWq28JkWpogoG
IoHM5RHli7F2B1072OWoXzggR7YRAD3yPTv3ova8awEi5ZaWaD+E6k4rgaQXdm5vdVFcey6jcKB/
BAoS5ESdSjs3JUz1bH0wFqNKtAsjhJrgqTp0sGIGrPF0Kzm2vjLabZBpinp5qmu3Poe8d73JZvek
sOWyNAxITMHQwk+SSyE1cpaFrNhlmp7m7GHamnca5IRob/YJKNw+l+cIhUy1KCbBuA0gvOWfJZM3
Jl+J/OgNmVyYLCExkk63ds+FvfrvMfaJG53Fu3/hGLt7D1+ylz8eYvO3fx1iJmxQgKAkh8z5nZ/S
hV8mJxZKU4gDFM/6P863r8mJ/hMnCynHKL5+Hrj8eojJn5ix2B66URMMr4089e9MTozfXuUIHkgd
c4z5tXChkz82CyJ+uGDRPFl6yq9x7mWYNKvYAlDusLXIc8rRNCD5iZBPtguk5PTdfhxQZRVk2q+N
Xh5awsyXJb7NTRBD49CKatvFCOZyAyVQ4ZLA2JVvgTkahBe0pP5swaV32srSuocGVMgNUXbD1q1d
/yK0lbuPR5qPCphTiVX8BFKrWziBiRnNM15bv/nQ/a7dlUN+WRNhH5E6ydYnGrsbZYzXXh+71xWc
9WWQDGKlpzkjZuFyjEmmBUHHqaZw4LFgytZiTCCkd9rOiJk+xlDBF6KLvhu5OaIr7f1o0eZxv3Mb
IJdBOcGqtvD+orUwzr4Zo3fv8jnHXOY7DzzMouTlpyjNF7WnG7wKscaTJefoVFFR1Q+n1PPPcREe
WLzs2hqUaJubJIFa1dENfJBzbY86EWBW4TCpdgvOJx3vgMtqjkRAtZ1AcLJkYUQPy3NZh66/1oV2
X07NrazrXQnEeu+wBauHBOCmK79ZlfdW1MVlBahjAUPxwKV45bT+XdAzxBmGmnws+VGXxAx38uQ0
Q7MyGw3wZ844CAbFYzykBzePnsa4bZZKah9jIJgUtHITpf2zk8v3MveqPVOBaBnnsK8JFgQElFpc
dVAjL6KIG4i+JXomh/FKqPghYd+yIAUZ8GnujGtN0LAAHwCh3DTf3J7wQXdcFsTIolmLOrbxUUjo
RfVQWBIFsw4VdRRusGr08a7grU9TE8Ff1JORkk8A4hHNkMVod1dlw72hE9+9rqfuDdH0Yx8m35kR
2RvfMr6XfsLmcwzbQ45K19cEAWu512/c0fLJmCUkJ+Hjuu10tDnoqTNUAgZIqNK29lon5TYQhAZY
ouBBKMSHigndSppXaw6doj311kZMumXnNh9DXtKl6YpOXXCNlnmSbqLJQyHjo+2uJcCLiGfEH+HH
9wXaRp84bytFIDGofhv0rlyFYjxbvb8znfwqHPOzm4i9pkWbztyjfvCHk+Rnwl67LasB2RBynyRz
v3kSzXPOWnOw2E0jvEXpDKWU8VCTt4/gLogBG1tkHXEp142HBqWQRN+1cb4pkvJkmt220bL7JujI
YAku2qzMdoaJM9xUV2ba7+wOzYk3SD7t43jOUnM6CD19Cpvo0nFL9or64O3jyrswZXYZteU21Szi
TRqG90WSIBxxoYIgPKFhDoxo38XRhdlFF0ZWPqUGowukVawfDf/e9pxvXd2czSyxt2wCJGpfg/V3
aMMny1sFnhR3oNZxp9pksksXRbymspvB9b9NPr8f0CwCcpAnTS3fF2QpVtU2Jbch2ftT/V7llr02
pzmbFKSuHiDbCBUmUcmfddm3nwKk63awAKNGnVr3cWNDf6jdHdvzDwzHRzuKLqJ5LAjL3OJjXa30
LHqaXOvOZ/UKNQxcRgUtgZga48YR8gnXEEHFVn5tagyyjEl8uLLbthNRD1VOz2k2/XUddmDWzbs+
bE46mKqFR+BeVFO5+F52ncKhRf2tHcIhvY+cloKqHQ+uQuscpMhIRxMFDy3m0s2HhBEdM6RJZ2iT
Ixoh7GFcaXX6QZN+V5UBtBWDuSxxsoyVwvh7XTrnoCBORhfDtAInaC5zHBDHIdCmXSuQFgwIGqZq
ulZQgNda35bLRAa3IyPsztR2klx3eHf9xi7rA0sBpJcGOcsVWL6tNbiI1lyy7wjVe8zqORRIf6ma
ETWRCepHDD0KsezedPqLiVCCRW5Ga7u3NwQVQYcRx6isd3Hjw57jQ0T8lcvkxda3yjPeJqM8OQFn
9iittUvYamXU720cndqxeoEgs/YAPS0a1S0xYTwVDFr9hMHuOMxNvr7zWk5TwurtOSMdUC8nd8kI
LxUrJyHBYlTeXdlFp8l23pOWgzKy3Dl9xtvxcJNAA8XPsIZ6MTYS3e+EEN4eHlI+tyx5GbExZmbE
QjoXD9p1Dexk4XpTsSW0/oW7s14XUdhBLVCkEliWexZCE4z1HHNbN/VjlBi3DHDS2TNxb3jtUww9
CiG0GBdNy0cj9cAb+CM2D1O8WjAHtrWsiaoqXuu4Yvssiu+ND9pGxuwF89CaLsktcFY+G23uvNOA
h2AxzLJFmduLFjiLVWrFWmbdd6aezK696rsV5ujuJKEkRAct295HeeB2DHoUxvVC9iuGwjYwv46S
tuUEI34W067OU1bC9wYGsSm6YKdQR9GavFpMfhfMz29VMYXbSIuf6Q7enMFbEpSNcdpPttQRvAd+
f2s4qKURNnqHSUNe0BJWxiEOv43SiHSuiZgEzWjOEuBYoLIPmAXFUmTDeURJt2i04EK3Ilhubfkh
NNJ92es8IVsw1loFCyjI3ZckZK5aAn/Uq86/rolP4DRvpH+y+3Absu7WgIqFYq+3iawuixRqHWKQ
SA8C+HZVP63B+lThz47O/84F5oXhXyio97n6E/3w/M1f5bThkCFESYxd6oub+lVOG6QCEjlkguKH
5oWp99eZgMcgwaZedqGTUXrNk4SvmYDzE4Q07yt9EIbz3ymnjU/D/68DJMIBiDay5t+BQHMLeu/v
5lUWaBNwhF6LU9oNN0WRRquxyFjXXCuzn5BsRDL0J3dth70eIkXvk2Ht4Hc1kKabKgd+oiIrPVZz
XOgZSxA0MYrTwakxxYzwkJhgp6G1BZ2PUnlh22nUoAvz495cab4s8uepdjv7yus6WecrTy97ErMc
Z2jgO8H9aV68iUT3CcsBMfBIOca6l+CPkGVu46aUp7DSQ0iaNSmrw2DfVwWnPPwpjDFFAoItidne
VUN/JJdNbRD9AmBJk+7GcJPhVc8dp8R5FQavvV2Pm7TRs4vITQquosK/jDXH3uDCCRGnGlCWxWCp
a0JkCPjriuGU5N5waWA6gJFafhQD0mWEK2b9IqIIXGGLrmUZoo7ah07c3plDhQ4mzJ03MaVy24fp
wJKN4AEME9QctnUjJp38sVkBnHb6aKNPa1AKty2yUlfHNYpBbZMQtcCFZSDHaBqcWWw4rVfepnZX
+Tq2AKMkaUDK0Hy2pnK6CqcpJpze7MzXhDXMsaNi3Kskbh4tp7GAGZqo1MB8rCaRdeeuS974k+b7
SrrGrdFEerqMSZg42QMSPtCZ4SVMuIDzy6F4IjtqKyUxUfEkxeUEEAsea87QX2VYra1AvSF/SS9w
ajQPXVZ0JJvHOR7AyARxa6RUVmGTIFqloaCOcq/ZuWkbpgrNlRVZ5QpFSnFE1NYfmyY5UKBMkOc1
sakcNX4MdpjuRJkFh7GISGkiUkg7Rb6rEwXRkKhQKBSybctwpFIi35YBqlkbC9xidGqGpJMp/UNa
a+4Dm8NvWADNC1MT5Zlf399oZMCcCFae01lq/aymEHq+GOJ9EKGHKjCWsdEq1U1Yi2HVN0O1VlE3
roN+8jcNPsXgvzML43NmMRuS//kRexP170ibv7//cVoxf+MvxysjV6aa5mcKOQuXHyauHixrdwZJ
f8a6YX39ZeJq/6QzkmC8AV+S2esMmvo6XRnGkuyK2wPMDyjrvzeskH8cuDIPdoXAoOGaFES/k2CE
JtkSfWeZp7qoqtK70NLPaZpkJJrBmbXjBKWWaSUremSihaIBw6ChlOEtVBs5ZwFk4twVTNQIadP2
jpNbpy7R1Gowm/xIwHF2iyNvOMOZLS/QVxRvbUAYqZkNyS1r5vpIaKHMl+1ImJkZ2bvCFv7GiGtq
Xa9qi2eo8rpcaD3KvXqAEizTbWIapE3R8772vWt8aFY03ZiNG3XowBDuYvlFEickii2XxbQZmwtn
BlBGkE+usqzz78xYhjcdxrzwVo+dJIA24BnVtJ/KkGSHGsk4GkNugwDFgt3pfWcuekDkCADUIIDY
IWmhq6hJrgDjVZv2isun1y9d7FLrzImq+F6LJ4dZa594Hso+twIdWVsqWzi9qp4Tpsp7u2e/M3G4
rbg8FnWpDgJC4MrIHZT5fS2dY1/CyfPjyAW1GypqR6k3wUKreheVeJRb1lYhTNgDkfQINGXyMxkN
JgWzdwwkBfEbgObwULq+NZ2cuGr3sMai/maKBRbi2kFHCcnW9oZTJlOVa9vPB+HfUHT9HxZ38dH/
5w/7L+Ku43ud//GBN/jmXx54HmsYXEDDPKSnn0XTVz1l6kQv2gaDSJ39xudk8GvHQtH0qbaCnsLK
1JsFV19PvE09hY1L9xzn52f+79RT3vxE/1hO8aQL4i0kCwSSJ/iw/nY66RlloBvhBCez8TAlY2bF
PgvXe+VVttwSxvXCkG7YVKVDkouaYls7ZI3o0P97kRk/RSY+gXPoF121t6OmzNAPxIO+xlzbecTl
1vVwBcbisrSS6A5hL/5E+iQPh+REYjuJN89W6lC65SqAJ+xTpQUsukFc53NhZ9pTuGk/76hqhqfu
bV/L8MoarZc2T2DnY7QOI0ZMNMIWU6Go2Zj5GBmHLCPt+DaYWBYgv/JjdCjkz5DkG+iriGcZgWjr
rshSjrdaoqr1UPnGtk9cYz2M1bTVSTV+mPqwM8A5K3daW00HjlOZchrXaYdKmS2Ur6GhtUsNU0U5
uadONWGxKs3CvY1cl+xGZP2olnPVbI0yTNpb4DE4wl27TM+cAqG5rRhTrVVAFO402DJelLhlYzrd
sPD2OKgsff3vegz/w3eiDlflX3hWn7rXP1sl8M1fzyqrBC6QORdshjqzV/v1duZLPKJIkGhw5ieS
junrWZV8RUJm9n5+in98VsVsuCRghC+RuPI3b2c0nb9/WNlHeIZr2ySh8fAb83L9h1VC2rLuHItR
P7cxIm6ZO1s3sbSjCXQehZhRXjuQGXYdAUyI7AHmFwW80BZj0axcWQw54z+qT2K8md0ubJEgzx7c
bQ8gIhVjeaonDW8Bo/FWvJGehNkjQxjtdj5xjsNe+mITefgjyijYdg1TAFTZjF9pYoa83tlRmN9V
Aeq1oCzfXCRWRVfeo/MuicYkRMsNqrdUcXMXDaZEep8dBoIRh0gR5te6JbZGbNtXmuUefXeQ63Yg
XykbNFiCxkxNTqsr5bcvXhe8+RlifFo5HXliWe1FjrqrKrSblgTQK9nWBjuIUC4gF89UB6RufuTa
S6ZsYBF8xajXJntGWt+byL0OnepStCST8Yg+RqZ11xaSALHYfCdJbVz7U3DPGnAdVc2+c7WQ9DRj
51fyu45lEdJtyPkwXud6PCO5n7I8ONJc3Bkxsn9nwtxdm/pd6VF0TLwJLY6gZerjjzBb50V1dIyc
uY9i6Eh6gOy6qBys2LZ+xWTLIDciuo7kLKjPIFUflCK/QeXlh16XB93NL8UUHXtVBHsrbm46FxTC
6OABmOoMfyHL4piRPcNNDvKJILdK0zqE6HTwNbamtEl2oiAoNMobcZZmqbZpLihs3Hhv5JVk20s2
W9VjgZq84FrrEnyBkfMm2YteVsr8SAtHMaxxCzKlYlNepmENBDBH3u4nEKhbByJbnoLBCIhID7O6
XOqpOA9awRwdnMwiUAVRHLaFor44dLV5ico/Ryk51Ys2sjFAdQXpdQ4E3RH1Zm90z24ZPiRJ0i3r
jtG+GearaY5tbwL+uCnpYkzApwcvUguwI69Z4G87REgHO9euDVF+2CGc+ZC9Q4VoM+d0X+ptbe3Z
Xe9LNzuMrQMI2MIZkpxti7xy9GfuQi/ib/rg3zsZkaAMqcjZ0Lz7ugV10RjmhV+agMZF1y0YwSL2
0/WbTLUHHRBLlcQ3ESpFLMFP5G68OhJJmJEYEHWb/lLU2DBql6FmoecnR/DHdbhW2e6ANdJhP+CS
SFZ54F3olfGGQwujcKu+lZYJhM6AytjgNi5azAIzFz/BtLXsc/1ySIfXkL81mmfCAHMXgkVhlo9W
Xp4kVAlXwCUILeampv/W6sPGqxE6a+lQLYl4K5ZJ3AHaTyrWUaQ45Mr53g7OaahIQ89EfFH5yACj
MkuWZK+ALW+eRVwdsyy/N5LpwSD0gd+PIaXtLOQgT/WYp7j7ulUw9ciLjQS67Yipa9JvGmk9q1aW
54CmeBmN2njgDtb2RcbeLO+jiz6pboHNvodlciPc3MFOhOJvYVv4F32PnzKx+N9l2JjJeiHxy9JS
FjbmdaxjuxKW7cI6b6aFVngJAcl8iJXA+2sG+FeLhmntUKQrP0T0OgbjdWzq+sJ3dKYcxj/Yfv+G
uvc//MI1GO/9hQv3GOVB8yfVMd/9deOS7YRFwaEKNlwMufNI8Yfq2DKY96EVdOfkt18vXPcn1uXs
7bmkIdvS9f5aHM/DRm5nz0TR5CFf+lvDxs/QgN8Wxwid6K0lQhOXDKm5eP7hvjV8qyVo0GPkPmlW
fY9nP81wB6mM4znUOrbacWNGp0Yk1mOJN6Ha6kN6rWvWUmIIzjAyjm20bD3dx6Mk3Ibw3KKGJ+f1
IHg6p6GUbRr/MFgpG5QiLabkuoBKUEInANfyPA7E/lCPXCqX5Zc9owwmb8RWXoWv4MDdhTkDD9Bp
hQula8sRFgImAj70JnvqAU5CaPiPzMdYQRR6jCk0/SQqJGkBXGHGLPROjcl6FfJT3WXRkbJ7sjXl
7hRQoIhwGmg66bDWW1JE/bwvX8lAeA7QASxbN/OXRplvmhFtfJHFuyrWdlGEOnus81fdqmNmhL5F
WEB2HwXam3kqc3UqbJBClsefJ52QOKf+nVGJ6wwQvWQpG0/XRuveDz0LaxGsbey78udcgP8+kTNX
8i88kRcvyfufPJB889cDaZqoaXRqTENQ0urz6OqXBxI1jQQOArPDQlZj86VfS2BIa6bumR5f1D8f
1q92VfyE5gUpHww4HiEmS3+nXaXW/kMJzGEg+e8kJVKr/z69EDEcjVGVO+ekT4OjFmSVfzuOLOR3
rhkl28GmqFAeSKcKcT28nHRv17g25lShXeJjNMmUibp10JHWxanQN2On4gW7cMw3uGGFMws4YhQm
CQlZmoydkzcxBxpTfeNm3PwouTdyEu9O3KMaV6BHfN+esqUbBsd8HI5xnm400ROzZcbdTds3aMlG
9zkdWZg3cUgOF+7TVC92E26DwQxuKiPvVrqrplVjYo3Is3rXTsalbOQ7JJLryBLnqRJ7xNu3wCy2
WtE8aoEoj7lfHKuQuN3QjvbkqD2mbbAUWnibmc59ELHDRFFJsE9ilYzGgydG03tLlOtY958smb6Q
c4KWpq8ATrf9QMIuRTDZI0DisZnUNRWsV8hjZeE3SWrzmDTpZYVRFGducKoy+6UO23MLCazlD01J
WSynYhiACZeHzEs8Lt5250h0QqwbpWF6VJJsCROcpl5pGSvLU4fJ1x5FHV6rwSa8uI33XZAjFvCa
ieOA81DMQAPDhwxDU8M64ilhSMDQnTAWq542gUpJvS3DtyZjtapKw1nlhtpCzTtAhrW2mTAv89I2
V0Obgq+u64fSD+21VX90rtJ3buLKNWpAFJaU3YxuPrSxwcgp5blKqZUJdSL41avuRC2gqRCzAenu
OiWtVvZ1j06yWMZt6S2dIKeS0AP1rHKkGoH93WNVMQdPSQh305NNvQ7R5XnUp+sKPwEqwaehxORf
t+EHgcwANYYEAlUTX2ae2iXNKLHEG3B5u+F9FETVkSGG4LAMNrHZvakQdzRrsY3XJ2+KyU6BE3zm
nkVu89qjvL5gGYUAMuvGYNvisktXg6PsLf9+6CYIudDHOhE1dJ/VCj658P4fe+e1HDeSZuFX2RfA
BJDwl4vyjkUjkqJuEKREwSU8Eu7p94N6u6Xu0UxPR8zFbsTczChaoi1U5m/O+Q6ck5zTYI2CDu9M
TWWEoILf+FxgkU9CUjiLLtn6GlZ3qnuCvbhP4v3U69eZN8Pd5KXuLtM8oFVsbFj7i6NppuYKM3hg
1nzMnFTaNY3QQ7ijXm5MnragsWtCZDJj0jeWmYwHjER2QBJVcvS8cWbsZA+s7pMOZx7cEr3vt0Rj
ffb06ApsAR+EMC6mqgu2/v7d1LrolmR6UzsVkYbGMzu96aExtOylMFJs4TVAKxNpphE21cbreCCR
fmX4n8GuW3D2xoJkHJMNXeBhtNzlgkg/t0CqYAzkCQEJIfAXNrurTZdMQKjwsUApNLHkduENEkn7
1ihtZ8CtCXqzORSOMvEuekfET/bRiFA6lFVqLPb05pNgrBZADRo2Cg1SYC03ZhG7sAtokrbkE4G9
6WZiUQzxMc3zcOu3/NuhGbxdMZMnl2UE65Q5rWWrpTojK3QIhlhe3xAp3myFp9qPd3IYbhLeUQg5
1DFFGREP/NS6BkA2Kk/GRABKTuxA6eNpTueG/ZZPrkMMh8L0FK8QpGt4A1twS9M2L4Do2wmxYwvI
BPjLyYtUhK5B3yV29sJ4eqe09mHO0F5ICTuPtMBNQcHfqibaTiqPV+AidmFV7R3Vfo3MMF7bXB5r
Ru68YbEuCRL28g95m8qzH/e3SFNILbSgsuUlbMkI1CL7yGdqINK4q5MKvfexFAaGsPzYZQObLGPc
uY718O2G/E+psEyN/qVSoW3ffzbb/mFeRvXu+w4lOsnIvOcWM8dvxQKq3OU/exgEFl3u93kZpmVq
C2ZpUFmp72GOfS/fkd7qrsNnpGKgxmcA9xekt8YyB/z9cNtmiEfuCqWJpZMeuxQTP9TvvfJHjbp8
uE5Uw+4mRgNKo+6CF4imJIZ7EJ66OSNwdCIiLHsylEG+FSP5pDtUM7EsY+/M2bnF/DVv0lF0M1zS
qighaxamY38e8QGgf62acN50UcNZx15/PzpG5H/19dzoHqa2xa3bJa4VrsNpnv21rMrBaQIUBYyP
aycSMwDWbADYMZNXhh9GRaOxyUXUzBvLNXIESJAi2C5nBqrJDBpl00eW/SgNeKtbGIsHRvCcPEjJ
kO6iIt6P5qTSr4PpjYiG2dFvoihlvQTzVt/HUGiOWujJtyQsnLUfYUkMpmrqN5pEkdAvSl1UyrCq
cg33J6KIt34JhZrnHFefPjEBs+vI2tlT/NUZNCvIC+8rJQ8jw5wwJbfi78gEJz2zV6AK3HI4xREg
Em85XaMkZ1bTEZzEKpsmwUVeKAhUhQnGXClodE2nKcKBYUyJvvcai4IkhEFgeMvyfS6jY9Vo8taa
ZBzI0fB3XlW8Z+5s70xpkq8T99auLbtko7cwd7PIBZFmK3mb6Thtax+UVtWzPqvrYYOSmlLOM99j
yAl7uiAeC+YvQR5ZkN7KyA10R3urMujAzizVimvW28VN89UdiM6pBLWSm1MBrocGuqTshLsry7w9
+iwX10KL0wvfM1rE0imP2dCvEpUyTXVtzn53mO58P7R3g1/m5G6BnoVGB12nsbxgUGQsFXPDt+mZ
H2WRCc6/NAqaxmJKsegDS3Leg64C3aHwCu6A3dV3mHsxRkRDd+cmlCbzZNQY0yeMt8gC5HbW/XHT
9oT5ttZYbUbDVTBUQFSGY5HtDYmCjhVJvv/P+flNBrAI/P/x+Xku2//67yJ6l+8/m3zwob82WgZ7
QTos+hFBx6svAQm/np3orHzUV7blsoGHtvD97DStv0FiWDb0DBCoRn5UAohvK0OOVRs+HwDtv4TO
pgP83cmJj0LXl/6PTQNnuL78/Q8nZ+q51B2Fn96ofDMjcg/jnVU///CLuf1ljvIj8QEf6U++Ct4u
cBcoIqiG+B38+FXqkP7Mnu30pivTRK5LTy/QeTeTtwpNkW1Ss0U9TZF7diOP8TCs4pWcw1NPH3Kv
V/GdTIDn2nFyHnSdJsrQ7JXhIZUk25oEoAgOvcgPqo8vSe/vK2Wc9Xm4Qyl9qefyNDbmlW3nUU8z
bMv9IjvUa3/rLsdLqAC5JML/Yoy45J2M5Mq0Y4wupfqasImEouggZW5CNOsUxRNBjVBnJ1CPznHQ
ZqSWA1aLTmvJ6vVJ6gKszK2RdQWONWE9hayZdq60zU+C2XKg4ZXcJXoWkxep6kpuCFXNCKEzMB4z
HZ4ImYZsdiCZt8N3ZhLSObUTNQ9wNuhCXhzjn6hM72kWtQNyQshdo82OvTPKAZM2pHIu3Xql7Lyb
QiiEtnb1aqFd+PzVuk1A0C7O9VIrdh5l15p9DzuCZQXcuF6yN6WVHRWCJ++Wr9ean+wpctuTmMq+
5Bo170u3scfbmKUHuN/JP/mN4x6hG0QvaFas595FWerJCYNUVyjr4CFza4j0tYd573EjOyt9aP3H
svRAaLJP3UB2tNaiGmPkoSAfWSlNh17YPXmRyt10/M7PgMra15aOe5xA2Uwjqwu/Tg4amIENO3gm
ZMDA7+ee4lef5MYvDf8eEZiBCh9eojf5CAerHHFeZq37klCFOnn2crTRvHQ9Dplk3jRYSOjIKfBH
OSZHB0b4xqV32JHPZ6wKP7Ru2rgXBKfW7c4x+/1gFUAVRtHekeZpcMPkl6SQF8hp5CY1yZ1V2gcv
VoQpOXJfJsC1I1O/bf3hoTPc/hGrvfcVvgdDgmztDKPztUzU2s7bdRbWxgddU9vI6aBzl9nG1/Jt
5lG6j7QwrVN9advunaii9ymdnhjErRuzP/oErXOAYGecd9aoXyavX5t+t0dGdGaAvo6a/k23Fb28
tpWDwf2D2kVNnwvIi1H5OdSVsR4caXKLwxDO7P7FdpI3OTvWxmmz9kgbhwBlmM8iFwczEhenUmtW
WS8VL1/bmRT3nrsJe2cLG3qv9PllDNtNlGMLqfU6MIE2gmku9ENqG+namOgKXPeWn/HehrC8HpM5
omkn8trq9eQSWw64qVDcdbJo2Up0J2wkPMyQFGU9EgcVcjd6+XTyeRPppFAKUl5HcI9eZZ6R6T9r
c7fKbPdBieiuqKszQht04/45V/1d7DMyENVGILChWhoDMWXk2sUDkZUNq5Go0W8yLftUZsanKsuP
SZudSkkqvDLu5sFYS0h16JcvtpWuallPp9l1qcUoEsjY/lyTJqp8e+03tKcx64tpHo5eOU/EvRbF
EXLol3wKXVTqrEymCJi2PZrZrvarHRGy2v08afX2n5+8P3HWEiuDCxtPPoM0k////ckbTwZIeEeC
oaozsemlP8FyYOuUw/TEk2IOa7cHo1jGOVXT/G5UdXtX15n+wZs9nGfjeK+a9KyP4Trz3Wd97HZ1
7HxF/h6hTAdcAreemIGJZJCZZ1qGCbg+zFcEvEPwrNHSul63h3X2Bv9VrZK0fRK4fTcAFMCMIzVn
p7diM9WOB6PKGFMQTYkODPF/fytFuWtz98sk8wc4OkcFB3Bu5bFW4uxW5dlrhb/rhgm01ZTsxRjb
qxZMuxPCyIqtdIf5zl23entvTcpYVbFz1GOf9zXaEJg6BmyNZnwkYd3C8sIcSEziaiVzAagBrdWY
ZJe+mm9ixFbZYO9sgB/rhDViWGRE23rwFnOPXHjwvHZUnWUEctEtxDWRw0mqfM+9BlqnwgtTTuzn
0+aapfIeSSCziKKXa6fQSBavKPaa5jYx257kl8UK1KSP1mRhrx2TVx+uatLzMI08oB6TsCyrF+Qk
OhOk95bxkubTOjehtPvWfuAcMtvyS+kv60QWxJGvfQmJ3Q0qUQd05GOQydw4aNVylnXnxHU+Cl1u
dX2CSsoMZcqFsUrbKUNRHV3NGUFZAU8zsKrU20OtVFjIzOHE7L+5SCrZP8ETsMv5YyHiYN+EWg3E
lOyiP5QITCcGFNQ59EeVrM302LAE/edvBqRUP3wFPqVJfCEDZRQVy1pp0W79WISYDkZyz4+iG+mk
BEdfE5Xsk+q+GVKeBBaUTr31080//5o0oH/yVZef+4cCS1VZh+lN0y76RBCgEEyt+QO34ke6O7xX
LHJWnWc/I9k79ArSdT8CtpQFUdS6SMpV0cwfS809J52lr0AXbaU/GG9ebLnrXE8fHawaa1IsT660
XpwwG4+GRMnB01SUGzW7xcarNBSGFWAVt5imgxpd860sUow69HqbJEk+S57VTa078ZoTeFp3nsOi
WfkPypIzE7/skREWVrkIOtfUfWE6tOdS+tA2zdbB8RgIO92beqwxcaZCkUNR7KZZ6asaBCnyzUXT
mYz3yya/AL+Jmz1yAoB4Jx76r3U7iEUTcWgsbc98+MM4p8+Wnh3tDhJek1GsJaGJ2rvDBeMo+5DN
6YkR8bqYQrE2JTtdM8w4ZfXnHi8QuPv84rH/L5qBCNuZJ1jfZF1EEDm9dZmyXa7QQq4bGV4qyMCR
7e6N0plXXjQ+oDKjgKu0D6rDtGOanb6a3W6nVQlgAFW+Imy5NHq+eGPBEYxd0BpHVLQa7bO5d5ky
rivDeCymeD+GsGv7Rt1UDncktO0Dfd27V+tqFRJ8UtvWLqqsszv8WXTSNz7b90Xm3z/jSyH+w9M2
WJQYYuZpS8/FbXSjbetT/TTsSKvfO2ePq2f1WQwB08pL8Wn4k7yxb1Hbf//F2VOy4hVIGZc34A9f
HPWbV2SepV2qtR0UZ7Gqtgro7El7drf6Rn+8aqvzc79J2ae88j/yZjrrwTHZhjfYXf8sXuz3jc0v
vwlTp7wEa7EInf+gd5z0gWG3kcY3sX5bEeeW6M9N/0vry9I+ei9/0tj8/sz6+6/BgOvHHxgJjtLi
WMZcru9Rs/enu39+evz0Z3BZfrnLHI0R1+8/fz46M9P4mstbu60R/jQ2NecvJ9S/Yfy5fIr/m9lW
S7zTP+7Mf9PsXl6/vDevP1mD8uG/dedkVHHo2pYhbH/RH3zvzlHtQiWhP6crQ5Lt8Fe/rkHdv7n0
y0AFuE4QDvw42XT+5i7rT48PMJEE/rU1qOUsj9D39xRQAcAFLj5FU1Ct6GAFfv8IaLoxtaIzoiua
elpWUMNdi8RPQh82O/lcZVpQjZ2/nuETuwuouMgjrme11yEYWwvKePBtTr8BFoorTyNAlGD2U2iA
PRNQSMjLmRx0CxzZg5JMMBPSrsT3N1ZSfTZUlXIdEI+nIsRZ/YsDa9mAuWwv8OUkij85vlxrNAhP
XNf6vqBCi/IhXLmh3a/5tsutgudcJoCdI0O8QMcv1vUCfQY+y0xNc6wtERFf+6F9Rx4MbnWBRXs4
qld0Ug9lFt8B0yZvenjSJpzY/oKaLm26tgz6tL1gqBW416ACex60bvnmwaqOYVbnyE2CZuBHVAvQ
uq2MWw3CdSqjSwnxOl3Q17gNdLpicWun6a1emGOAj7wjUh1ktqSC2KHg7YO+HT7DbsY2ZagkyGKP
MVtso7DQ0w89HG7UFaCTdbgwrSndMyzDhxZqd54bd20xNNtUQsLXIHvHEL7jbjxVJRB8l9DmwIIC
HhlVShfGQgYlRBmUyoblm7TemjCM+ZHYiGLvl7YCg+em7EABjaPvTrdEyHxhBDwdoz7Gk17oLMYW
RLk5eNoGR/LZqaGXW3iNJxWGd9OCNo+hHG6niBvTlzmksgWBXiww9NLRduVCwUtcCtX604TMeddG
5jLxjmlAIxc4L3R1d8GsW7DPAa6H+I5r0H8uMHZq38+dH0N/X0DtOMbyjVzg7SMUdwnN3Yma6pJk
FazfCMQaVrctYdLjWocCn4RGt+kXMLwQ9T3NXbx22aOv0wUf7ykUOXoLUr4RCFAjNX9WjW4GVaso
wRcEfbrA6NWCpU9SAPXz5F3YtBIWMTrvTUUUUOMbN8XQFSuz41GmbxvXUZ8ATI+YPRma84Cb91O/
gPET+qSg9Vy579oRwGA0PGgLSD+ks3MXtP6QI+5BLMACdQHv1757Gy4o/tqS1l7L7Rc/FW90NDt3
wfaLsb1ouQbwXfMgCML2n2H8k8Q18eK7NWlbre/csTTvrKMxMzejCLfpSscGw4g5kHAQP48R73mR
eSUDEoW6zR23k9mZt+6Qv4BFIEPaQ0wath3KRHt6Gump6X7Yyo2JhidwkeCW3QSyuXwGtDDsBokM
KUFwGTboHvCUO6cGY3BQe6RAgUP+MJfhtXGqsxr9do0y82vS1Q/CjA+F8E69BwmoS08zjmNBcxxr
8UVPWeSXE4NrSzLyyRvrXi+dfm3webf1aJw8k8kODd8B3KXYMF97Gfxo3w7WiSXAV6dzt20GrLRE
41fiaD+W2vQqlkKuNohWqMdugH3ZO8dk7rYeMj4iW1K3656LqO7L7RhXIFXA3pcP5qDaJ9rVgemD
ANDs6G3f7M3Esz8hTbWPXVvJ6JY4scg7dLVmfQojR4SX1EZLkvtZt1Z++GwwfdjYo+DRCCO5CXle
9lYJPnpI2ZQOPHcbGy1zwFP4oiy1JzdWoEN19rED28RdwuKGJAKhUIZ33jxfx0J1K9BqM4iG/FaS
Nv+ogHFt8irheMqkYDmcfo0a965xUIpoA3lqeCv2AGjlyq3ce+Y4zAz6p9qGZ827eOeF+BV8BcZK
n299KzmpbEI3Wemvxsg5XuK5ShGVGYMhVx2kl30ttYRnLbxOmS5WUwdoVwPNFhRshLJDsTDNW7N4
dcs+3iDjbJAUA2PI0jeB9rpMx7cRMHpR40SaQaWHFsx0Zm6AK8Co6+O5YDaYozFGfVDMOzqqndZ7
12ghsPeg2B2Q7CDtaJpNeJbA2g2KssBY+O1yIbm7+UDKHL6reKG8NwvvvVjI7yRn5EEKuqBbqPAT
eHiz1w1k4uw2BOj4JLXZsDUu2tz6tlzo8ujMmSgju6hjcWMtBHo7InehaYDDAqcHBnNbAqvXwISv
St15Tr3+c7rw7IdRnoaFcE/fdQqB1Nqg78FoX6eFhS+A4lcLHV+l1TbxdfD8Hhkg8POB7Ec450sj
UMiJCqyhKwLy8KHJNe6bB9fPTBb21rvTgxIYFj6/6XWndCH2o5tx+IfjtgHmb3VQ/VWCxDkB9A8z
mfMZwU7Wk4uiJQ8yzF9rYgEEm5+sm849iQGZyUuteyywljABl1SB3IjeU9/f26QNlBp/G5I/0PWQ
yMkjyEW8+1ZP/Rtqxh9Lxv+HqVxLP/UvFZaQkX9SV/LRv9aV3+R1CF6ZaLD7QZ7zQ12JvE5ga3ds
uI+LFvZ7XUmkl9AR3WEa9f9XlPervM792wLltlgHMb6w2KT8lY05Wrk/1pVoalnp409dvgs+4e/r
So/FEjEe+nw18/iphpezkswlINjXDAvmfOvVzs7gabInjYmE/wTmFH2OgoOS+86H1CNbsOwOeZpu
QLaG7dp1iWTaJIxSH2Xp48EX+l2kFc2h40QkQ0am2ptAycEC2zD7+OSGfT7CSNaJE5Fuum8BjWxy
lao7HZUOAQLOw5AtjTmpSKS1svYszHUVY+2ox/LDNGlPOF0eTWqjQIc9s9IbCg1tItjROxowronZ
+dzMJljZYgiiVL+vUnHL+fAk+rZYxx1vsbBbRnwNkO6w+Do1mNRjkl5DC5WRaBiN2GK8YjJ5rSVV
g92bag347ks95PO605lX+6O3ifSOmI4yNrYZyAQc45o1HYax1FbomU6Gcq8Ar1bKiE+zclcY8Fz0
WDEDcdGfmr56jnX/RbNcXA3SvMtQ7+OoeMoSDOFNOj92zbDtlVHdGCGQp6r8KnSDuUJy76ulNCUD
tIryg5FPT1mrTlrZYxqhNtW1yV0J01RIshDraFrWBabM9nWrAYmOnRXRDWIdCsYRNj37VSAMYI1c
M3vqiFSNy2HV+U3KvIQNS44YYOMBHFoVIyARR3c/x1N0LEwkeF2Y6gG5Zys8JRxd5l6p5hpKiH4m
gyQICE1dIVhwVL7rbGDZAdEoB7NrVm1rQ5UBjWiW0HHiAtaNHr5lMHEzOZKtpagAi/E1ckpiubiU
Sthj0JaAeMeIqWJTe9Ub8PRND+bJyJgkI6KE7uhd2LH2G08nYUuo2CEs14RDXTQPccseR3Q5oigR
sUpyCb+dG7WP+3EGJi0t7iN37VG27xjMdlvJ83+j2Dq6mnXQ6vaJbexeV+Jp6DtjFcWtvu5aYTC4
EOkZpQh1HmiCTWzDUQ174sGKkUQYEO0hfl1Dv6lGU9yBTadQzfqdb1UMu6JjnrVhMNbilRmGjfxu
Sq6uKUg/A+8wefhDunZgY5LIlT0Ub1NbbkWffCwjDfYFoOiITNtVKid5tSwY4WP+yzH/D8cbfxg/
2DpiGnMxn2JZXVyqf+g9K3PsM6n5xlXmj5n1xbbXfzr1/cmX8Gm7USJzRoIo/sOEY6qiscXsbF2B
f6nsdqo+FP5/SDC/YAqWUfM/vqwur01Sle1Pxh/Lx/16TSHsMhc1N8ot7BkgV364pvS/we01f7m+
vgEMvk8/8EkYBEV64Bi/CRB+8yy7SL5IZkJKAGTWXWYmf0HXZS4CiD9OP7jyACFYGC+XJ+T3t1Ta
aJlw8X9dcx3J4yXGT/dpNHRgQnZTFNFtScl8nFXtfHJia2ACpxXofAleGl6a2W2f/NgqH3w/sedV
aqqB7JTC7Z5bUxk0EkwjNk6Mo8xKtKdRcPiM0WytpBDZSozOrQegQxEIq3rQxXJ6HaL5lchei3fa
vdN6OclX+k7IPOEApYE3Mmcz9qRGaM2RUTKwV+BJrBRJRYr06TWrG2bfCDwDNpNLwgyoqIkdGzGt
3pINMy75YF5gK/9gRU0T9AMI/dy5t3r7Pk8cY52ZrMLC8Wb2mmiNX/C1LuoHvFifYi/FJhZyVxRF
qkgYm8nVTPx8xeKedZhl36eOe+699iMEuG3mFPIMHP+k4oy+MRRElLUuAJwmQh88VN6qmrP7vq4e
a2uuLmbTl8FcULUDdhop0clrHqxF2SsRUXcm2/uxiOS5QOM0u7jQHMLyWkOv1kpv3ue2mdDRjnLj
tWov23Sn+1DwaLcq103paPwVSP8Rq5rYUsuifk75HeDRHlZR79n7pOBPVj8qHI3lUwGAkLr6zrMI
cKjkZyOLPzglOY5dl1pnoiEPKJDvkopJUW+78QoXQAiw0jlHixWllNZ97DgfrAYTH4P/L05ZnGZ0
DdXksVfWSTQsCpdsub5MyWocT8XiqdUHJOBlsZOJxrrYUkQSGj2q4OIpdVrWeM6QbGm9Nk5FSK/t
DCttoAqIdW9r1W5/o5apjju1HrQH69BlTv6E/mBc4wy8mwFZBLYZ3xTkAGDcJLcwndRjM6VvYT8w
sI8bsJ2WjoHPe4Yn8tENo5WgIJE5Gajj8m3o/b02gZ4J56vMiPBMxNYPb3lYyxurV2fpZ7fz5HxK
HAYJBYD9bTPiFrTod/GyT6fO4bEz7PRcipLLr+Eb17xnzWWk1tlDsjLSMVxpzRLAkN3YVX4lafNE
rstt3zLU6BZ5fORaW82sP1maRtKleMw7GQVO6R6r3rlOyWBy/1Oa+OyY+5riMWw/oCN/c7Tx0jjq
XYT5h7ZzDwYBd2mfGQed+L5VJwGl2SWvA3K1L9IYeIvNaPW8USInLpwrPzzJ2EP8sW7wcxh6fhWh
ccteZVv72ZumhSuvxH3qxqiOczO/XTDr9GiUnXlXPMeLiZZrUwSaXsiTJlUFDZGghxA3zMrN81fE
f9mmm+Sd0YYfIWJOKzSwiDnZs/refJZFd1EGCDVlvQxO/ko1SXQaX3TAnFglaxkSokUWVCv1nWVa
e7MC8kxKzUVR2weF5RXbKSvWllhAUAbuDDs++qozT4nRFHftYuk+jr2xKAgKkvyEOYNOqpF0pN6z
ygvJxDAn5ZvA+nZbS73bMbtiZVyUcAlGS9yOk3VkcWDcxLyxVrzmNkR5KhO7B/rA0GV8nusium8M
Q55SK7V3Hb+CzSA1uTdQvwcwuF0ziABC6EHvdPG+00xkoqzwiPesdGOrpWEW/Lt6yv+7ewjrX9tD
PHSvBXSnV/UTpeDyKX69jFk4LApqTuRvlJDf9YwGVkiHRGfPhk2+sNV+20V4MINYEKDqhSTJAoO/
+t4z4n0G8cbtCeftr97G3xKbf7+LQETCt8DufKEa6XzrP667NKI0smaU5VWB95wvqahQ9BmWvlA3
ulzeutD8ulUubc6K+hbkH0GBBCM3IiejSJZBbuTnWjQvHE9H2Rb3SZ4gnSNLyEzDi2fbF8YwOJLd
YReZRG0yuT/H+vAMKezdT9AvlCTwDAvXl9BdcEQ5WMgY8qIiBQeCiKLHAYHVKXKIHY/Ns9kXxpvg
uR1ZUMjtwI3C+YKSOjkSytJhMTI0Anj1HmZ7kJPf6cCx1VlFOn11cBM3B9zhHx0JX/mDSQgT3sh8
SBVvxSi2zk2atC/pEBZrRSMm6NP6lMtBpScXzSD6Rd9uhw2SOW2NtaNJ91DZYB3WTaTX8IIchCBy
GN+Uk0NyJL7IrWy16uJh5zEw2jEgfK3CMly7Q4132ZPD1lQlJDG9XokWUmQVJ5t6RnsTA+ssw/5R
6OGT1syHztXue6Jein44WEQe9lp3Hgf76kMQCrzKWTVS3E9t8gqiEqWKq+EwVxflFphstAqlHqUM
U/P7XmkHxxCbIgScEFVfhUl5oA17I+mOnHn7KKzPMOBvcjHeqLJ506f2HtvsXqTOYwbPMma1HrK3
cmL8c7WsHmRF5HzB4YihZLDb+6bz1uY4EGZsPecuLnzfe/W99ijTAY5pbopN6n8tjHJjSeeG8e5m
QJpNihRmq/YSJu0tt9gLIX1rl2SWCiBl4cY3c5lfvYkMQRtGZ2vt21E8z0N5IVgyAG4LTMFaVemw
9eP4Jg3Lm9b0T7Np02l1x9Qm68/RP6Fn2OIMuFRm9xaVXrpZXvrI9akcDNYExg7C8tno2y5Qvn6j
SLed6vSmccRdPdE5z9qjHZsHmS6vsOJEzvJDa0D2Z/Pvh/W7b7XY+OWzm8aPEN7uu1jbhpV9Ni2P
pjW/0dNeoqgyzoM1voGD6gjVpPorjHPY4ztzDcDV3TlyOYWT8TSM8aFsIWF7U/PeuOK+98f7ZkKj
FEa9fefaDQnEQ3zjhNZlskV+bdhcHfJMErNMP2qS58MeKbDH+qo79nkweKQUEnrZtxpKqKFaV63/
ZYrGG30k6yo3z6Qy3Y01VJ2Rm66X0l2bdf2pQ5FIrpvDpijcjXU/URWEn+ZGXgZ/jLdQ/D5kgGJN
zYRnbZGjJsALUjOzPzBzQKRa3IxL3in54LFxYc58b7GkWLFMQqc18opjs7tNK23Xsk+riDLcA/LQ
VlpLGcmi4dKlaoeKf2Xjk0NnqjY8HbxaQnTkFLe3uN2mVWEhZwU9AZ64PS11uxVmZ7NeLF2MV5z6
phLoncAhfq7gEGzRUayXFJt1GuJSTDrnzpbeoexSE6AQJXdBqEQQzmNHYpFiqCz8lYgpR4jiOhPr
oJjXali0y48d+6MAN2pPONx8A6/iQjLqF8eskSF5Yh9WBXY64uEDWOn3hA8/db5z1Oxo72lKbuF0
QdVIhovtE2/XW5wAuUbojV/hJxV1SIosJe+WOKdzWQNedMzkilDssXeISIvj8UPk2DzvkM8LDSmk
lzGh4VcT14AjsW8/+j1Wdz8BpAKpdTjPJdDM2EaF+e+63/+fz4wFK/t/3IZ/FyO8F1/Kz0nxEyrr
8hl+qwEEwn8CeD3BzAYpHH/1q1tAQAek34YwRiCLhfb/txrgWwak0JnkMicCk7CYqX+tAUC5IoHR
/zc18i9047az3O/f738kNLptChc9AjAGn1ynPwjoXIzHHoYl7WpoEoY97ZFuze/hgO47s6UTKFPf
ovHdNhOMcBKTq+beb3LtTri9Bv3bLQv3PmKnyTmINXGtWqN5ZoXpTp9tjQYJonseiMXjCLgO36Pw
5l3UDvyJufgO+jvkm8UfCWph3PSV5m8bzJNFlemfoxo/JQSTalsuHsuB4zzoF99lV/JvzcWLqTLR
fKq++TMXp+ZMHNJxKNxjmjag4rFX2THD6RaDpxLqjYhJSt/F+8nkETPTMlXEFjot/tDctTd0AvBd
Fu9ovpC1/cVP2kwcE7xZyWnMUIcR7BSYcJA2Hh15IBZP6ozcVnRje5sSyswGqJMvdLnTg2E8J1ab
YPXMbpI6iteM7u/SuSsCXPCXSV+oN/RAvM8/twn5xB6zeKuT0OAX/6y7OGk7Ul2OxTd37eKzZamq
b9pv5tuGyQCdE47cvkI/z8uiXYlr5MzHuJt2pbmCxHOsF09v1pcEMNCf7bg7s7sR62+5eID9xQ1M
bcQHZfOcbOn1cKWvzAK2SrpYiJvFTDx/8xWPo+Wt2aPjNgabBKgfLEX4YPNld32aVvqGB7s4FE3f
07XgAw4dzbskFljdoIMZnYGOhiBtLChpQ8UvMrbJIIYyHTVoXgfyZzasSV4yo4s2IUxq5gn5Cob3
WYYxEZXpdJULwDqGZB3P9hqxYXedMF+vwMi4K6vxMq5TMii03jk0PVBsseCx+3R6iBdgtoCebS0I
bb9hCTzaChzNtMDsElUNfAOdUADSm34Q1qW3K+04mS4FCb60W/tbimnD8lpvQTSZ1GkgaatUdmf4
FihReNCumLOcbVPbBFZYdGtaWSK9QAKJXFrtQB5/WsbQsL8MMs3G9jiMCxC/j4ytbYXeDVyDrZb7
X4TWnp00vyuVegw189JWLmpZoVU3k5ZMB7FQ6cDw7zWbcX7O6P2Dnobh5n/YO5PluJEt2/7Ks5rj
GjpHM6hJIPqGEeybCYwpUegBR998fS0wb2ZRTD3pZlkN3jO7wxRThIBAuPs5Z++1HeetUYZDlCIr
Nu3jGBbuilPIphzGlcWAmXvm8JQfRZa9TJ1yEFp0zELGk1Er/FPuoDjILGms2zC4DcchIHw13VXk
eyQlHxInx73sI/Y0skAWyBZeg7bnG2hF56ErCLPMqbqVpssI5CFg3Up3LjQmp6peswpDHJp7TMff
LDtiacnWtO/WEkiR2tH1DnTmN2zEoYx3Nhhmtx+8XpuTCxrUpUxw751UPVMC3EPkdHhJ3cJCMMUu
6jvTN1lqN2Jqd/M50ciyldUMBsDj4SCUxMMP+hpaxsaqulUdBCQqCudSJ/mNU+hf3YTvcJYab407
3pgKAddZKU9jOcHi5RzJZ4wsGpQAWnL0315HqjwS+OwLlry7fn4ftSTeVW14mQoSHmDlw1TYkVSx
tbMCThGXT4V6neUDAc+jp+MUyP12qTh0GiZlQ1doayPFzSSxqvWwVsSssNejL5YDJ42zOkEaXhLa
q1EW51yqzipXiw0EbI4gbXDRiWiIumA7qM4yK5QjaqX1mEZMk/XFmAxeyVcEs6/nV9qSsaPnN+lb
lb4VfntDWDdvpLodUVFFff4kSoT00KkoC0nSrjzTJ8eawLq6scD9C0btw405uHdpPOlLN8VsTkz5
JjMrz/Vd3kCf0ARbXTtu9m1EzcgKt0bO5dWhs7QcMAhBHe6YJ21JjHtStYZeinNrWfLJCeuboBuv
2+xrPsq3UiWwEEPowjaidWTJde2PyyQwVyEpkIERXhvkVxWdcUNX6ZumNAu9UjkM0tJT1a3idlun
VtZqmN7G5Fs3Qrunh7mwyXhcWEKufAWis9qu+Spe1a6z1ox6b/gjFyxXgeSBDXm9LEo/hxWuf+nb
4olfhX4N+M1YA7/jm0RAVtgDb+tf67xmKKYcSM7agd3H6GWHi65KCEJkkwilX4KtHRluWfZGb7rH
rM1fGhAdo7R3SA/xuILKKJpqmztix8mbHqxwcUZ0T32lPhYVETeKhhxjoK3U8uzcVZA3RDAI3k4b
3E93DVfzIHEzdArQv8jeOoN/hgq7y81s3/naKSyoR/KWpM10vBCshbKhX8jeuY4r92how7O0cKlU
zAh117n3K+u6JkMkr8UNwAl1AQP8tmUi1En0RNVEg1akx1QEEKlLlYI2OFXzQjUVT2PSHPRKbKSc
g296GvG9V/fzoSdHb5HfV1BwNb04KDrZ6orPHBDPdnpb42H1Jr3ZVyjWpr5nNpmw8cRfkS3dx02G
JAJLxsK1m2cTw5cOcSguAI9E2lcrY/7WlE9JFe7gNZ5Zb/EKVwkD7fogplnOnYIMm1TtORS1XLtG
cpdVDWj2IdkkhnaJE6q+xGV2WfTGGtvk1ieeqdcVQHpTQUw6MpmgDzxt1JdJigMkzC+orzaxPxBN
NH6VCu428u0bwIQzlolvADyyuLNXbRusqlDJPTRi1Act3RI2CZgx205xvnadWAM3J7XGXkfqsGKu
yPpTI9cJhmk9ZPlhbIJD1Yg7RJC4Ehvp5TWN2CihfuqVfa7TGCAzQqOtUWnFLlWa08QspK7kFywr
mHVqFxrTcOpMhqqZyvb34Wx7+f0s+NHp+ddxnkD9rVsUNLP++7PouumrqmqjXDmrGYq8ZFEkNwrK
lp9fZHaCfD6GIjFnbGpA1zD0T2NJxKRUqqamnAfntwpVW/s8FOAmlhnW859f6UcH3o9Xmv8lHwTt
hV+M2uRzJZ0YcpO+qE18+LQrrIe4fYkK6/cS6W/MW3l6fJtmariGb+vTjemI9Bw/LYJLp7w07aEM
vuTpl79/R5yWOSxzGQh5ny7hW6BZ3FGGF2iLJIa147hKQ7pfwSZC/6A3vwid/cH7YGouRQsTZMZ3
1qeKYRZ26qPaRBcAcovIwMsO/Tf5xT19UuHPZcl3F/nksKl9pRGWz0VixmZNdYTzvfz5U/vVbcw/
//AedM3ErAM4zgUhKy0RLynufESxP78Io9bPr/V3t/Hpo5HJmMguq6PLoBgLvGxudAG0zAL3LJji
Ed/U1r+44o9uC0E1vB/ajQIH+ve3lUROFuXkv13s8rpUA2LCdrb/7ed39aNrgACxCO3jPSAe7ftr
+MJQLKer4kteh/RY4O0UHpFLP7/Ijx4dQaXIIkiVsHX300WKPrTtKCJQvJLPuUXTmNqDxcD1b2Fd
mihce//651ec36lPaxBL3H9f8dOHhWsLl6c2IhxHrgLHDljaLxaDGez24RIzFkVoNuAUnck3oOLP
hri6MOFzDFp2iY+oqHZsnieAWCtxHd4ID1LtmuCv9c/v6vtLvhf4393Vp/UOS0A2gJyIL52FrYsh
ow6tWi+2P7/Kj58dMwmVnVNY4tOnZU2aZTd41y7wdT0djbDT/OLZzU//86eDoYO3zUVdgmTm+5dO
wmrENqHEF5vSd3R0TpsvkUnuURz/4l5+9MQ+XunTAkdFXFTMLuOLJt5C51r4t+X0i+Xtx5dgrgNd
mm+S/elVi7Skc8wpSC55fhb4qYZIX+it9Yut7kdfIV62P6/y6aNPqi5sxoCrRMmXVMG+qqwqcy3g
8CbNRUk2qfjFZ/SX2wLVA0nbVFGLME8yP0k7CDqxZWYX6aXpNmX10luMM27+5ov26RL00j4u23kX
8EDDMr30E5BhBa57LH7x2P7yLr9fYjYBAT506bN9f4l4GOjFUmld6vSLMu1QA/ziAn95lbkAMhtU
WILGG2627y/A0mn3Wj5lF855WYuTJ95FABgIjnx/Vv+W9Or6h5dm+dq8/p83dupmvHrN3v7zP05v
1Ze3r7Rf3/9s9/U//+Of2ir+1p8tWfUfqqC7yuSV0SdD2A8tWe0fzEMJxKIfyqr1oSVrQH3hJIw3
zCXLxX0XAP/RksUihrDORtdkIJYAtfl3RFLMeHkF/nu1e7eI2RYnRghcnBnNz4duQ9HphZRJctZU
s6n2bhNJlUTPzFSwfST2PNpAtuO1ZVwSEkWqJqwUrIvbYbdT/XiTz96guQXVOA90deRCRt0dc+Xq
oDLrDZ/82S5gNcAPRw6uXvbuJUgw0wCb2kpd4JzGcVAk43lQ0o7ziv7q8yJ7wJYOEpdCbg04gPEt
DPgX5GxkaJ3hAU/XV0vaN9Io+AXGJLfBIBiiOsXWrN1r4uO/daSsrLI4o4ekYZqQfZPc+/goiKRi
0KqOcB4G7ezgtegzwqSs2X4RzEaMoXK2nSVhKyX91ofXbs6mjb4YW8In0QoXRdmtOEzEW2lkUEMq
20Ft4uPLKMOnNimbZS4kCXrzfGea5Q6E9zFmftdA9LMcAjUpJXD5rpLQZ8HEMEsnwlCVq2SWU9Sz
sAJ4aXBjz2ILa5ZdFLMAA4quOEezKIPITu1qRKdRzoINEmzI7Z5FHFaJ5biahR3hu8aD4QzgPHQf
/iwAyWcpCGRIHPyzPAQJLUqReBaNEOhrHBxZUfll7lgH/BvyMtqbtmJpOzehs7zWyRvtRjvRftNK
w1y2DMrtMo5PYdcyQycCvUGQG4JSJJVwWqsiuzZBCvYkNxYwRqvkDVvhY8lQvlDxm2WM6VPsJB7x
JafKVU71PMkPGekLmd4MYb6XjPp1JTnGPeiZEhGAMasBmlkWgDwATPdVng0YZMLGTjDhjZG+MozO
AI8pwng6gZQjQpNQt0QCIjbMzqerHe7azGei79N1GCzdWWVT8GUaWHZ9lUhc6dIhLWYhk3DzkHav
+ELnuZpVVIkH161eGuGwarVmaWfjPZGLwxIWsqBP1sXeONK6B/J61Vh9tnRUgSMnyIivhVE8RPyf
8DcXIa0WmwLKS9TZhincxGOm3G3GMOqW6qBe2YJUlKTCvjZK6Cmq2hysaOg8urD6KkprZaFm+os1
aMwOx+K2nznP7khMuZ/X9qIEyeZiWlowAXKxNNpvmR98TQt0gny7PKasjEM52LQCWfvY0QxX0ZW3
9ZitCo2uLw0Ld+3w6quaGSxzFYj90hcNRzmFhjBmqtgukn1eN8Xd/9b+8f+wfIfd/F+Y3N1GbzSh
/7pHmPz1j3sEfBWOAM6MufpubEfWiHCQ2L7DrxDi/Dm2M6Ag2hbjNCwds8h1hqL/sUegy8UcAg5D
cHyldP5bNGVmh5/3CMS4sxsFJS0zRBwm3x8jJmJBQ72I1DOwsVnHMpFYo70UwVditlCuMdKw8mPk
sBJEvasfe8mfV7p9trT83JaSkVNwgwnxpa4nD0PAsKmT8Cmnq0d42I2ROyfJ8sT7+gxwmh44BsjJ
Tg6NsGuau3gb9aC9l0N+F6s5TQCX/L6y5FvIVOgZFs+SqeZBjORoaSTNhgBZ4+lJNxUm3UOzD0W+
cofY9pIp2tYtYQZxPj1pgb3tw4TuOwfUwQ6BoeT3k1Mc3bh8YrSaMZPUvyl9/lhW7UOiMdwzW7Fm
pVpP9nSJXGgz3NlGugzvSWFeIvmwgEnMXXq/3zXvuKzRmbNSN3aprKu6w5eWOQ9lT1KCbEZ7R4Ne
o7Q0D7FKtF/cK1vOf+ZCg2a0bZVxU5jDTkem2UvrppftDaa26j4V42sqZeJZpbMPQvVRzSCtqnjN
pDqcgkQy5QpsZSXifNuQ8egNLTWsWe8slwWu9MV+1L7Wef4S+O396AiWAZNFY3L6l0StSUMpDWLS
zTfDlh1GAu2eHZECWDVRH5jYdhlyLMa+A540jCQBjxsH7qwkjaGteWZBkJrLfgxi0JVJTNfjCtCF
Fq58Oy7wcIBEOzBShfVrSrXZFQ5LYzNjNjUM4THhLGplr/QIk/Cqro3GfcXlh8KnwS++tBL62IvB
6EdzVkVUyzFFxxuEJeAy0z1lbVkCdDK+5CGAKsWH54x9ImQgjFfF6NVlP9VfLL81PTcpv83uJRjU
8XLM2VZtDeddIJIbe0LVSrTOlRJi4mx0ye9ghlEo4VM6mM+5M9BHHrpb2Sah50L2WJql+BrL+ps+
Dm9TUyGwsNOHgHYGABCD4OiBaVKtHypcIau4b4yVKboLYvFgSZ761gyrZycRzdrAjbwSvvM8NkRB
SxPCjGX3X2sH2kaOzos3B5M+KkHHUxEGndJAuQqeU9KEA7w0Q/zVHOqlyHhfcjQsyXSwoKjEhbxm
PwxX0DzvJYZ8hLXBJiW62DaZpQXYGH3JpF3wJ47WPwZTeY3K1BtN5oN9/UyIaM0mg85Lse1ppuqE
A2HEyVKZTfMW2TGKEuJsrwakxD2fOBOMm3aOmklCDEtkz0wwraEmE6/NLCc1O/KmyzGpfq9w/117
6LQD/oUN5gSViUf2lxqEv/3H/vIO4HXoDc/nexQg/OhPWQjSUGHDltRhhMzqjz/3FwC8tD9AKQm4
XzP96M/thZ/g04A2ZRB54ejq33MTmnMh/V0FYs7Vh+Vq5LLCynjHP37oj5ZFiYs1jMNL2TI+3Zbv
mFthnzX4qZyZgncGLgEU8zvWSjClcBdmUu7I4lKtnXeCbv9O0yWrdgsz1vBfkc3F6qrv85TcK2gR
/l5jQk9sHHSb4GImeYRwsjRDVjmt1QcaI5OY0shLSZ4GyAaYwIBZMVp44jkau0yFq7G1J1BPURlu
7b6loE5joSyMwa7EtgwqNwbKX1NIlH1aEVozw+FbY+ztVcD6jPffsWAWoC99E9ivNv9b56f/z+VR
JuXqv/AduC3S1x9po+a//seXgGg2XmONQpue9adDlv4PFnLaMPSZ/wlk+cOt5Pxj/l/FbLml6Kbb
9Oe3wEA6bcDE5OBm6rQJOTX9DX2U5nzfQ6MQZzI7p9XwFaCRZqtzof7ha2A6WVyZrT6eHSDRFzse
s5tIk/YTzhN9P/YJjDUN4oHTdOqpH6W/6IgexC3eEWjl9s1tqBbpZpq06MBe769spQGwztu6YqR6
laahe+oMzT8KUqauDbgpiw4mA4Xc1DjsnHLYKo67H/QJFkkT4hYgi/ELimE2krz3l7AmcO3IenjJ
wjDYFyXnLBN+3VLP1Zl84UhvrMYHVy+9MDVeRz+z962lOesGl9UhTxCLVHBGSZ9xfW9Ab5GgSF60
ESWga+G6CslZNiz0loWLxXNBDk2jI8iJ3+So9eZ1k2fLcpqCb3Ysn8Mh8FeE03tgQfZxMbneEOfJ
Tp9cBLQcZS+BFjypybiPWqNamzIn8K5UV5HaKJvGCqb9FLTGnoLbXqXIFcnjrncA0twlBDJzk6S5
uep03d9aGoe2SATJvsxkT6R1dz1V9ApkyjyWpJBpoQixYtxbcEJ1r2JDzCUyT0cB7HQT9TiRs0jT
zjViNNJ8eonkpd63evzCuZe8rBSJlu5Y8UoL5D6EiNJ4fscHpvRatUyVRF37lraNTdjbCsFpg0D0
1CSM+adWvnZFEJ+GxnxTEuLVGMCgkBeINVjyCOkKbi3Dvs5s4hSSYdjoXfqgcwBxjyYNHs7m6bkr
tUuhOw9qUNteakQ7qagbilxQoKVY+UCt2eMhmaWdGZxw3CJRyLNDbWhvQsyp11Z/24WQZWug3JSz
+NGyTD3bgbvNs2LTGeIYD+5JouQIWWFXUxpg//Ut4vni9RRE52wit8FCq+OaYHMnMZ4EnFmIRPcU
POlyGswD5zV+0vovmV79ZvRaCdfG+QIufEOu3D1eHYBrvjQXhawBG+X6mF2ViSC1SIdh94Ws98oD
almFa78Yji7ME74VWZQcNYtD/aId02JPyW8sba0ajgHBMLt/r8rvbGudU8K/sCqfih+tyfNf/mNN
hm7NCJ5+ntARCb2fPv44mHBmsfCqqMgvLEtltvDnwYSF14ZmhmEFupYN7oBpwx+Fr/0PijM4jFhg
6JwSUPR31mQCiz4fTRxcqha2b3wwhHPa888/rMn1xIimFa11FRj5dCQ/XpWok5ywNJfKQDT6tJj8
VsckT1JrunQa3y4QXGYIyNsofheYqenJaSMVHTotK8sOvJoC2EQu1NIeWwW8tcg0p16ktBhRoQeP
fQv3ZzmpgQn2KoEXLXc11gGSOzthDddtbMNCCZUiWKPOV7x2yB+x4kMDBXTUzB7Quu6aRdnB8EQC
nzEzV+q136p3cU5ed26Bjc6gC4/qDYZxOD7awBfIl5ClskNe+ketHx5GmIqwqvE/SpltWrnDM8iy
E9AZiqw48hK7wZ0w2HSEHJQkLfmXC6zwGDHci6bSBkhZd5S2ppbh/I83w5bLPnP2FeoWfW6bRW33
1KByXJB7csgiVaAxGy91kY/r3upAkrYusMOubDzDnoZl0qAmgoA5rUaBKAab0Qom8biErAuhzOm+
KuZwAFUDKwG9qpf52tdhkIXXinoNrXsbCfRimZYeY0eXXkTGD+BuMojL/li3DKm6iF4Y0vVbBb9k
abf62k+IFVXgpfmVL3fMUoPFYBZXsV7cEAzgMX06RPAlQjaeRYebUbPL1dimv5kjG0UVdsvGQAGc
JmSpmSAwZLA3/WxVSQd0iw9YAh1vjAm2SNbOaAPtMppTpuCwTNIKXi78aC0IHlscuagFXHAxoxFR
dwW0KkDHsoZ7WtnsZ9MQKJ/qMSgQn06JOJCxftsEw8oa6KXHA7nEeXwT5N0xEsYysaOWNX2KQBON
KWWm4m+rxA89dXAv9CttTgrGW5FqNZs/q6jIiyuh5c0mNPB/Gsk949iHLC5Zb8uzEkp2BDehL5Jy
9HXSGFhZ9tDb7HSQ0VvVeFYl/hWbhnbXp7dDInZgl8aFNSsbQweJwljHQLdUPTzAAibryZ1Inuj7
x5xyZRnrzePg9w+aWd+ZNa1lki42eeie41rgmEBYKxroQujpAKX1XmsnclkmpJg7wHuMpr31Y2gf
Ray1qOeCXVCbwbZsKFCt6Rld5kspMCAPEaFebhyV5DCZmmeq7X0XUfFrCYDzwgr3ilLsVdt9zbFN
L9Sg1D290G5RQ6yjyryTtbpRjOLS469gsGrcmjD4lk6oQqYYqNBD8xTZUvEItV4PUYpK2843uTa+
ZsE0bImp2rZdZYLVdFwvV7B0Mk8o1k2TP8c5PmhsVgCOh8k5uOoI001D2qVO1TGyknXWA1bydcgT
RABYC0vp12k9njXNRIVJFldR4Uex7XsUh+EeHElKw254SyL3JjYJ75izP5Gx0Z6op/Fb3+Fp7jqQ
0n6gmx5zd2zc9czMtuHI+ml7CxqWV4cDMmFMCqA5GY0oQAvhmQXZtsHwaoVNvmpoO6wGy8WoWp5w
x70laGUBb5D7Uc2cLsHxFSTltwqAV1BE23EqnvN3sldY7uyZ9SWBfqkz/csZFBCALQb2QTd3AbEh
C4x8M/kkPmngw0YwYiM4MWIJkBz6hyyNd2FT3vph+a2Z+WPQ844jQDJLkXdyJpQZI/MRdaaWuayL
rI3MAMjyWNkz2ywGcpbPtDO7h3uWwtUQMwmtn5loUdc/uDMlrS1IHulmchqRV8/DzFIbgKolM12N
HI4CpIsO8G4MH/X+ra8gsREXF63y0TyEVvY8jDxRzUVP2Tc6xPPi4T0qyaihypjM/wOOXmNiI1c0
EG3WxRdXN7FAqd86jZcB3/KdrPjAgLQaS5E25IUHebkuM/vSwVQkMIkM4KBXCB/ortAm33CrWBnC
80Q0FQLwmVfbKUQMwxmkqDGWoaPu2oIWKNObYWf24laX/lNoA7mu0ugtw7u08E2aTxoD8G2ddPdG
DpAaDdiEaLrqEL7++7j0+3GJ1sm/dlxq3qDv/6CXwy/448iEzReHD2IOxCnziYnT1B9HJipcIj0Q
E1iW9c/EpD/KWIuEcehfc5n6sZNjiH9Qc5I7jqhPn92/4u+cl0hx/HxeosA26OQ4zKbnuviTDiST
qYno0bGuMmPq1lL1zWWh2s82jd7Cbh/1BnfndO2T4gmRbKWT6tk2wb0/x3xihTBo5SbLkgRQ7Pyk
gRp9cp/N8aDaHBQ6khhqNVhzYN/sJFmiapCzYrQFrqGKZMA5cBTC0YsyR5BqDWGkxhxLynrnA92M
YesRbecH1T7v0SzGRviYIeTOR/d5QuydSqfy+qh8HePk2g2N18rSnoZu1D2rGU7A0ApvDBP8mGV8
aFscNILM4MdRdV4icG+HXGr+SuuJCFRlfJ+06Ys62tOO0mbnkx3EBGTaTqX+0tXZlZuTQ2jZtxh1
E3KXSrdgxBj3920YPTuRsu3V4rGulGBv04F2a/rdeXelxUDy0/FqGKOrmSNRjnOKdhR+LSAFcIyE
w2j1V+6MTCgifWeS4sxIJRxxCui3M3oaQ0STPBOJzSoo4w2jmHky3i1TExl7Q5VE1agj1Tb9RSHq
mhG4m3t+byBLVo5WVvTborE7CNSzlTa+kbV1hDo4rU26wR5Gzm1ZpF8rhMTLRq+ZdFbqprKm0BNd
exkdd6vG7FOq3+WbMMcSEeEaIkyczx4lP4ZsJv+4gKcxgrmPBs+ZlgUS6MHy3RnkeUSsfU6le5VJ
c2nFBCSBjTz2wdyEsJe2mKj/TAwWqcq0KJ9hDATGD57VdwTAJSa9OruuPZICM1LmmJ6MkYsbJwOC
2NivGHF28EybNTMMzwd/NdvIrnvbIiFdQzxZGiQoxqVnlvFNrnF4DvnkFGncC3iCZZZWK2RXzrFU
tF3qFCcZDy/QyR7Cuv5Nlg4Ipn70l5NlsW/GLYPiihMK05FdNzbFsiPCpY1oc04INLwozK792jS8
pBu2JIMV64rKg6gmq18kxc7QoxiCJT4XUFSFlGeT4jaBIyO0FKcHBytA7fgzUuM2nvIX8m0Ojdaf
iokSBT/YHtjnUSXcVM9I70hVuXM657e4DnZuGGwsk2Buy6nv+jpixKHcI1HeqfkcvG6+FZa1S8hV
BHnxktfpvZWUPNSpP5pGdZi95W2XNAt8Dtdp1m0GPzqarQXUsd9Kt9hpsxhsNGmThvvAxOZSjcZB
knXQ1+pFDc103U4Vh4/mqbc5vNTmxPmqOcs2zWh22PvK1W9EJA9J1G3NZGy5w6zdxR2RC2p1CqSN
gaXD3DYC+Qj027qoH9kbD/4Qn9rQXIbBeJOrKZgWvvRJGq4ZtD0Gib0RQbHNrMjZgS/dWF0/ZxA2
JyN3I4/CEwFDsKPcvM6UDhKMSmerrXaEZz6pA+x1R03Tpau3N30oji1xawvyPMIFaqsnWsZbu2XT
HpulPkxUaU5+MlLrZXLcTa8gY3A5r0Xdcw5ErBbqt6kOmJ0iYZgghkRUw9R4k5JnNzpaJC91+lRf
O4Vg7RsMY4+tmeQZKz24QUtDJ9kR6dwsFM09hGF4Nrv04Adjv8DQcGK+iOvAzX/rogaAe5VeKaq7
KQv3qiKFA+TIsM5KVVtFQnuItPY4EMVjJArIuPh2mj9CCE+/SVIxizpYGXp/0ALlcVC7M43WKzUB
vWnZcHLH/lVXqIciGTBSLTmKM+HERCDWeRsQdO9kL5KB2OhSBzdRtU2KeIN5u1/WlvZAv3Zf1t0i
DJEF1cp1B6/I0807O2gJGJh+i1P7dkKFcMxFKXdq4N/ILD8pM/zPL9OVOYkXTVobW/cXpgH5Jm4I
n+mrQd8m1La6HrwlHBXp6RfqYbTHI2wqfa1pUqzVyGA6KxhWpqGE2sQh3wrUbZ21T3Uf3ZbU/GMb
3PlVvc0Vatyhdx7yPtpwz3fkyj42ZdjtBvOSJNhHVMLjYygJTTZshFmc+ya4i9SpXjpWt1XIQmgm
Z1fV1vWUatsqcHk02lkpq3wRYlLqWv2WxG1asShvlk41q200wlIN61Sn7PcrtB96umr7MnoQWdSw
+Fv2Qc8Zvmfk1q/D0iKzDsMkY3i+nTQrcMYurIpbQpmy5eS4sYPcvcAPcjD1dflqUiJiS7oSOkEH
yKdrs986sLWmlcdrdhh8k7C6llKftSNMFQnq9UNosEPasMV0brePUyaypTJ+y6sa/ytA5WQkgcKI
K22BaMVZiTR9pE2pU7pbFeYmwDVaWMOMyGKLEIQsABjQyHPOLP8p1mxQTGKqFARevbiue2JygWcg
qulTE744ijQNFddEa1BTjlhu92SbXHQnWZtDvLL16YGM55ugrA5tqWMXNnJPT4kpzbXyye9FPHtu
VpVWEx+QDJsW8z4Jps1vHfN7LXGeTd84dT3+T6a6hP2sG19gOajvMH+NS8cOX1lZHwgs32JYPqti
ePNj4wCbF60NLA1epMKrFeLdJ3GwowzCRGpwVM6AhuM7kpimWrZoZkh41ir/HNPxSJPipqmTCIzt
tJOBdRRDtNUqYpUSuctcchYKNVlGNgRIKzau3T67bQBodsVIbEue3zEYzulRJAeqz52qKieXEpaj
0EYfyl3juxslCXeBXR4Afz9apnFIc21fGey0hkMulPxChUzzOrgefE4KIx62yQ9XFWWxKJu3LHSP
Sp57NS/dQO5X66ZfINcTJOXmu0KNbiodEYgeea5Jo8vIoBgP6m2dKBiKckXxCDkDOR2sCGZZ++BY
3Bn22Lo1abHaNmv1J2TJXhprw1qQ1Gwgg+NoUS7IwipZ3ZOn1GhRuQkSZJHxuQkDujZIiZ+JH0hF
3BjOdFE7EtPANNyNPRq7WD4WNAQpoYEwKF301a+KjrkA5I8mNK56oV75gUG8cmOtkMCuTN/exG60
cyPVXQcBaXHJxKxBXDVS4457fLeWzssSFL2gxUSrKyQ7euWPlnMutGKfmzQWUmZ6YaNep6ZyTBtY
kEpgrOsa87IvQphnNUamcLSeRY9D2GWlwe81HIfBwabZF4+DmK6lYj3reuyvZVQ+qVjvFqrVrpO6
SzFncdeOr23deekpMZN2hRtugyqNPRSGJ4laLQmU6azo1UFqQbnUMXouyyqjZBzIshxLKFH815gg
sejK2yAa5IbAyR3NA5DdTUvC17xrC/NpYNxDsB0pJNWA57IczSstia4gd3lmbIY7O5zqI3HUMyjS
eNSDNNj3lX/t1ukzKhxzO3/diTdDfpazm6MHN56dEKaZNK9pKEZH10Aio8ldINU7Hcb1VAgVsVBL
R6NYqllyLAN109omugSRfUPHmbKW61S1zl3SFPuIUj+hL9ghhljVevM0auWNOxDtnEv7KtYCQrHj
NcKVkXT1+KFM3WdzMG7wShUHYcQ5pGwL/GVjPk+Zu3PJy/JiNaIZ0/GLlVJbF4BpYIOZ3TZOIXvV
cAEg5puZatwOWqxTRlQVbVsC6kydnpxhKStdi/wp9j6Ufpffp94/scARG47Ei+mfxh4PjkH9VEDp
kaoOup5H51gi085P9TQsXPP25xeZJ4n/PXAneOT9IqTqweZEdPa5q534ZBoqdR2d1XGn5CcVnYxi
3jX93c8vQyX618vYSA5MLFZz+gQ//9A891XVpQpQObjr3/riXjF+YRf8we9nBAD3E/wnj+vzs6rd
0SoKK0vPec+LtnV8VHh/luE/+Cx+9PsRz/OEeFAzBeP7f39gz51aUYIEou4QF/FPtOj/1bD3yR/4
+8fw4fl8+qyJqtPo4/N8AJQrmZfA17OXJo33tzRe/vxWfnApojqJC3JMgSjQ/fRRpA6Nw34qkrMa
b/FuNupC0lE1PbZhQgZ+fq35n/3p7fruY6F38fFjV7Uo62wrTc/S8GjEEefGV4s1dezWP7/Qj27q
4+f/6aZyO3axPP5+IdrjZIKCCmIfmbdi+Yt3bf5Hf74pBCoq+V/YNdBAfn9Thsj1go03P9fG2k9f
uwG51pef386PXrcPl/j8uk0IHYsA1fI5d15j/9lU/gev88zqRtKDuQk/wve3EJepaExFz88xKyCd
3HT8HyxejMpUNBQoIhjWY3X4+MnnSs753tKK82S/9vZVO49+ml+sXT/60HmJESWZc+zOLJX9eA2C
QmQ+OhMkKg5+ozePXsR1V9GS/i/2zmM5ciPdwq9yXwATMAm3rUI5FllFb3qDINkkEt7bp79fUtMa
taS5MYqYxdyIWWgjNskiWcj8zTnfCVir/N9/kT/5Xp7Oj2EaLmAs5k8/fy8ZIgnxE7s4S9VTb4hT
k+Qf1gzXd+bt17f6r4hNxXz9euj+wUBzbl4JQf6TgSef9WPgyY6YkbbJJJUcK+PLJfNj4EkCsqE8
jrbpeLwhfiuOtshGJpAJmzK8QRQDPLA/dsSW4iQ6/MeXVXR986/MPBlq8i74x9HAtcPbna/vc52h
oTO8370jawfE9ujqITYGpK7WkqU+mjI/PGpTrR8LtyXvQtPn/ptI5EUczi9eZCzryk3erYGURBjE
o7tnfZwPm9qCrqZXNenbSZyAa3Vk+QgDmERJoE5tpEZbQOJBXpvIgq3mVRCZ+dH1ethszcImG5X8
bkjruEGYfWwlS+h602UtbLGsEWSqNAlUExaO/sonjbj9yiVO44qM4kTFFU9El2uE2cG9Z+FixyFN
OenGoQc6zFFrPc1K/C1EGdqAmURzSS5yRhdbkZPMGONqITfZsJZLSY4yHsBLUWYHg3zliUppbTsN
lB+D8OWyHWCPtUJeInXd6ZV2nQzM1qrQO3YqvNlRMc4RVdpl0ZaEAGtjupkdFMINofGBW/fnqWvP
WjoBfmGchIQZY31ZjhvJih0Ns9NBNo+tuflMre4uzvQ7IoZzm+qxK661GvikJVihIUyPKkc+E+e0
djvCpNswh20AgdYq5afbgog3K1oYs/ToXCA3zlZ+pzn2uK08Oia3BlfSNGRm1So2GoIV6pkJpJvr
BKZRyPMQAWGOK6DKFnvobtLKW2ekXwTziwigWVl+j5bIhDMXa1ek+GwHB8za3FfiofVJG0aeTseY
eVs9w4GRkRtIPnSDp8itXuywL0DXarQvqwIi9LqdGZH/5lH8k/rnD3ceD5yy2Ho+pEbKt9/VP+Qx
jnrqt8nJ1GW1tbLRfCXB0VuP0Gf/zkr4N5x//7kGEGWl++dH2+m14oL+gyqXz/lxsBHyoaKtqY0x
nQv87b/Z5JikvmNAQsGic0IpluuPTY73Nw4u1IgsgNiwfPkJfxxsnIa28PmIpQyHuuv9lYPN+hIc
/vZgU4JE3CPKgIieBpb/z9dfU7e5sMmDPFdKX4VGnzWu0lxViK+MpN6FyoulVFlh1b/pyLRiZyLl
A+FWa4cZ23gNOmAd6EratYAisRF7mdADWaTHZ4cYrTn0rnlv8wAohViNVCxFMjYiHSuRkHlIyfrE
ZFaCtsxzWBE1Ee957FV3jlKggU3+0JziCPIOpoJSqblKr6Yp5ZqHhG02WajCxd7liNt0Dtl1hdzN
raxrZhpnW+ng+qYYwNUgjkudeRdOKaBF27/JkM9FdL6F0tPNNvy0KENjNyO2G5XqblH6u+JLiYck
b1HaPIuIO7xye+Yx+jaa0O+xe5LMeREdwmqqLno9SjdmNRar3nT9IJX1Os4gK9bZW0RkbTfz0quh
3fV1A4+lJIB4WlguuzoZ5GO6h1e/maLOX9etDBqRGQeS1Y+WnsUXnKgXIWssMn71ah2mLEtS0qj9
0bmrjdghCqKBMUnUEiETjTh7mXMoRlbW6CYBiLd2dmDzcHLIwbCKolu3Xfitjbz7RIMdFGvWXszh
Bw1YscpB6nBW5EHLtgpjP0B3TYh9KUMQrWmu37PmgYg02QfGU1MgouoWJ+Meopu7ljaArmhp63UZ
t+GBxYwOeBv5YMWFEjPp2Cwynjd1iFYAweV7YzB7QqKI801bzFu/BoG62CkRGYQnEWsoAw1b53YY
dT+lkjVz0G9hcXBQZe7RW4/rUfPSQ+XZweQKlNwChiZtd7LrSjur900bleGdR97dheHI75FWVhsv
TP2LBTLu2siaQ1NH92yiUH105l5oFWRiJket7O3N4DHLGIryWHgNysj8s5yKZiWWEcvr8Fy1TL4R
2Tz2JoTOGM3Zegir56H19I3bLpd9MV3muS7WjZeQiOYRSYgtoxvtK0QmPBLaYzca+lqQe5+YDGWc
SJy5i3a9B8YtRm4EW6/k+m53KMEuuesglvrdt6UKz4OePoBLxeoNzD4ya5Q3mIbWiVHHmyYp220s
C2Kh0ysZaWhwI7nRff+qyPx9R++xHl3texzGD6So1etIi+QqMfXvVlw9DqkXaHDhVw30ydehsTea
ob0Mgont2HlXFsRWaEZOeuOk4hsIiGNruN/dpT0yVTwtBmqPeBGrtrTPU1maVwWXZqYzuq9c52hN
zZrcah0NnbwdIh3waTx/M937VNuI2TtWcbz1BwJfQwnRtSBgNx4IHOjS7Ab4o4Ygp3mptO42cfoQ
Fc1yLW3ggo7VYfshSTFONprm7BdFgiRwBiRcA8UIOcpKKaJd3wcJl55xA6x7wV/dhPE0uBN053z5
5jtDt8V1tXZwJdj4IzONoqwb6st+XA5+Fb+B/yOD2zACcpR9rM/JXZfZb34Dy6ufWpZBtfsYaQQI
GnnIQ1zioLFkh1OYs3DlLxlOuC/Z6r+rmfjPvUwtxgj//DL9lYN691r8z0X5WoOB+uPlqr7Gr5er
juKBMZrDLfq7rkEZAWCQwlxARvFLask/LleLPgOdJ/fu3z0CPy5XuhAybH75Yrgu/5JQ4pfW8ae7
1cOHA0AJfSsXL4b+n+9WCEs5qMu5Oc8aVV+1MlEy8nYpvIQzTBbnWDhXsQRJ7YBgDhfHhg6dYraM
9FsrFLdp03+UNAqrCYBzMgxHCdCZjKnLFHO4BuiZWf+lB/gZqibUXjG94U6+1EktWFlAoqESbMPI
vWyBR5ezdkN09YM7F082NGIPyLQnPJZ3HgdrcUgR8UlMMwBWrYPtyUeWfXgB9RtSBk89+3oWoqfJ
RXPqO9MlOoed3RgoKaIHm9WSxk+0yZrxzQeJHfrptmusb1aU7QaQ2UXocIv7x0HUpxCktl9OWx/E
diQrwNhItkp0CyC4sabuJftGf55XqN3PiZGQaWxsSBkPahDeUh9eQLxfS9lfReO8HhTqm8E/G9dT
Y+Kq9z9bVsjQAGCDy76/WICFh5D9iA56SpLhoLV+MAAVl9Gy05IkyIGNO1VzN7cz584Un1XSNyyE
wABPbrf5fpnb29zr3grw5ZpXnCQ48wGsOaDIi7yZ933NRQj2HLcCEkrWukQ6WJG4dRUf3QO+2Cli
usjGq7RnH2bMBG2H6atVilsfyLqkTYT+7Z578OuRmQdLNBwacHwsz24TfzoY4NqF8qCDb3dIGlnV
LKGIbxcrqRjvbl5fxYr67ij+e0aKa1CChHe/2PD1tPMULT6aqifTrCSxLdMb4SMAx5svvHw7++Oy
Cb+w8wlG+ANh6k1yFsuC2TxhP2jt4FlxKpOsEQwTuz+mmLuy7nEEetVtWnbVRQERc93WdDBGpojV
9jIEwwwcIJsQNfoFS0FwgsmtaZi71AR5yn53nxQG21Jc0vhWaJELomjWRtFDk6yQ13aenqDzHMUe
EYnN5ni+i8VcB4TH0nVZiCKXHqQd4lSa46h9oOzBSu/08yrJSM/ycBcsyedoE8foa+a9ZobvpWcF
3izOi2lvRZOewBOMQToOa/rqD66sKy/pnrSRz7tq+g6I7yz6dY39c2U50SbOyxuzRPMKzDigduvY
+rC5XqSCCVbiLUKWs9LRPK+qtu4DOMSnWMkEXAybvsZuZxB9vh4GLovU9D6iyv9WzOYDMJcPXj+5
NKXeghWwssCqEBzJnBB6uyBlngqXfWhl0HQ2LOjj8yDzC26gRzHNn72rXyS+d4EyE9Wpxgo9ko/x
whItz+rTHI71Nh9o5c1ec67KLGR0LmEbUVDATh/gKguijIDGPJNaym+5zr9rJQYXJA9qhRsV2ySd
DqGW7RLSntf+MrwsJSUH669zrLtvRKK9TVg9V82U8751HVw9MD5d2P6R12grs0bJUGUImCxzF5bm
c8eiWsF/qWypN6O+hWoZP8+RxRfXBA6kOgdojEy37960vglak2nIFGJ5KcIniyDX9UzVuZg9NROr
UqvXzDUgE9LrmupejlYe6AmcOpREyi0SPlsZJUZYhS7vL2tLk1KvfH/kEY3TmVKMx7LBRsjLsz5z
3Zx2QwjouEcjEKeofMe8PqBJcHhtw0XltecpR0yKIWdF5sBhlPpJdsNjoesX3eihsdF84L8aKuOe
uNNU6ndj1B3tQt4bs4uYNEEjAwJ35YnRCpxJu4wp80A7pw+NFCyg88oNMrdCgStlWmybsY3kWitD
sUIbr6ODHuRBdPFW4tJZFbqn7ZBQgfco0O8XbU7GbW9ekJF7UylromtM2U1cDvH631Vv/D93H5r/
WlFy+hhev/9Zs/9zPUJlwRyFeaMFLI8B548pJvWI6emqChCWx9CSEcGPesT/G6NNqg2G0OS38+n/
mGKSPK/b+GZhRphM3f9aPaIqpZ+GmPT6rOhsn9UQJROv4ud6JOzjygLkMJ/j4tqaqRnMEAURZr2H
acGErs8mj4lZXHpLdsspSDmRaWsXxwKZihldc9ySl9T5vNf8s6WzgZk0582X6VXW+4/LUj9YY/EJ
vnRba061isESMs/iKmwdc42+eKeb+SW0VPz14eCDCWdjr9fgellpIWxMHx3QPFuLbR+ByWSYMEZY
lab9nGbU1/PypoVMDOnf9mPdP6Rxd9344hSzO9+BD7vLMcCX5RSdwqG7KMehwk/XHg0P6cdEeGQ+
lfzMS5B41qr2+kPvyS1b2pCZaLEtpPbUV5xFDBOA7Z1YpW0XIVk3uW64gbrC6HHsAzwE29qDDG8x
AmRm/R3XxrlNDWcVxfV8t2g5lJiQqMmqXS/1ROOdcMCRYI+/udCSja/ZL/mSEnI9hi68GD27cMuY
8mbkStQmQjHcMgm8Uek1fZtRJCOR0V9WloE4H4IzOgv7EeE8KZwR1gTEBj3TAs6tEn/O5KD2fDDG
kXU1xPiaOTGnh9xkX4iG6Rdeg1TshrBESVmDc0CztEnBO+jZtF8U76FX5IckinaTDgvCVVSIEDyE
cHFQA0f/qBL7KlMECXCX3xbFlADeiWgCzEQHbiKGDg18ohYE+djgKGawFFNDKr0DqIK0Vw1KQWVj
oxmufEWzSBEIYtB8moVzkSveRQ74ojbs+kHkUJ1zwWhBoTHGA+7t3ZQkTFrtENNRHO5hRZbrqLaO
syJswGlwD7M24/AGv6EN0MIdgBxwSsgYwN+pTBYeyI7Fx72JD9aBX1SQkKfSLgB8xFThUA8AUZkh
IToQdjUIek3TPy6omzIgIaXF74zO8lkHH1KE6QOw5pcob64nxReZOg8TzvLcNkXOl5d7BvP4LVHl
FcBJ8t7l3QyuZOhmom3r126ON8Q1HTGlBAZ4EyceOyol5IZYLLllm+yePvVBKipK1YuWl5YeyQvY
VAtdROe+1Iqk0vTOVQNahVJkp1skkyvmij6DsQfCYgNjIUt36wJnAZF7nipoLbWzmLijBjL9QLks
6XACUrFNi+8p1pselcSmHcNdGY/kS2cCm409X8ekjno6iS/+SEXUue3z0rfTGmTWax4SlG3rabfW
WxLqs8jEXzLfOwvTiqnM3JXVuPdEMB7xJr8snrzK/OnGMslS0VMC0Gt2Drm+z32Pt5FbH9Cm8QYM
FSF82oSJ+WEnouKBMu55Gz+7HY59gzieLnZuWt/67i9zs0m08boMkdHlrSHWGFtcYsKJSskciaS4
awyWHFN2TVd1mxKsp+Q99SEcpL7JcRxvC8d/m8Lulaib69BocKO5dhi0o44vbK4xMyf2kftfXC+W
tyMRVwLRYolxVxXGeziTVx6lywNLiUtrid4MlFd91s/7PPS1TZeaVAkR1tlKtlsG/MXWT7uPsnKX
Tc/Un3i/SoH3ayYKFLcrwrnANtlZsw5Fc7kY7rEzDbzNxkHK7rZBvQem3Do4izhNvXYsc37KOK2D
qpM6ijpNBKAZg0TmBCO54hdlwb9hcP///e5n5v4vDCSus9f3j+aPswilEPjNLEJHpQJU5suWoQbt
v7n70WRw8TvoZL5G9r+5+4FHW8oWC0wOPRCf9WMWoQywjPphMUFFdrmL/tKg3/95z/1FHrAVMVoR
AE1Fwf358h8A+ohOuOO5I7KX4jl9Kof51i2HYZP50RmsUvLOkqxYxbN1j+2JW8TSGJ+646cm9S3G
EoFpSUO5SKo8mYgITF2UpICM3pqIue+UuSSS9sWt8LOIG7kMd+NAZluO40xW7ltvxXfOsDxJRqyI
NrFamZVYT6XMabqrC0utH3JXebj8Yrtk5h3fKxg7o6dU7yU2sdkgcABpPYOSqy71H9DzMExJo+9J
610JdGq6mM4yavelyynJSXRjSl3fCs/CJSkUkQcRM7IPZ+WaxERDVVcHxoq6ZW3VPStZoZKdaLgM
Qma2fkfSNkWGt+mZqmysNNw5+DZXpZWz9qzEfeOTHzP7QW9Zmx6T4IqcyZjsr/mwGIlYd4UEDKUv
j7b/nYzRoDEnNUa+YIby3OtLTMQYcSbCiuHqzBQ6ztCjjJ3mj0EvD4Phbl1LIxhFl4+RwZqWWHIU
4sgmkfpRbaixsUvYi3tSg++obB5LzX7DsnKE3YYmdAkgA9BsGYc+TG/MGXtBZDu3Hr+hMHaJNimb
7Zhlp0b4t06sv6XToq/AfnNe6oayaYwPuSleEkRRbEcBLgyF2Fa9AWt6co9kTN5rGdpbZ9Ef4yHJ
VmORkJEWwu9qTrgKjlHDHKvNsg/wTN+mQbuvGFtNcroltmqrO9pzryXvWEopt+x5WDcVyZ2LEkab
bf3pzvOd3msx6BaYT1l6OSYugkf8zOITQfcmNPlxxn7ZVm7ZBqaI70qcP06iGtjI3S2Ja6+aovxm
Fc6LRezlupinV9GPvL8MDA15BKdy6Ery2bLv5KU9+Q39ozDJxcgccBbzvnS674NGdKAprXubsXzE
8hYTeH1t6GOHcXSYAobKctXQ9AWa7KF+WZ6yQKePSccvaaHaW9nc3wTKmbedU238KicqI2/8DZkG
1UVINMDJ7MvHqX3J6oPFM/eSs6sqFaBSRkxUlk7g65zlzTw2/iFMMUmUbjvtYByCG+xHse5rI8GO
LLkHtOqTbQ3gBxZ1HXeUDJN50+VpvTwMX8WhPUweZVsUpuKuCC1KLUSsj7FIiM6juARiTSY55eZU
COpOVYBC5QDE7e+wOlObGp4XdGOTXSADdTc54RCotK2XcrATaPc8bpnkLV2M4NEko/4YYdJai/Mg
8vzpzqsohUtMC5NcvqvtOflFXhBTTOsU1X2aU11POKsKx5MBtl0knu5pEmKF54oEBu8ppkSXnh2u
IAhtcYcdYor4Bsl2RlGfxf2WULhuvVDuA4lgOUgDIGQRnTJaglQ4d/x2jV1Ns9AmFGw0Dz5NRGMJ
9Afh+NY64rEsredcd8Fo0ngkmUV9DIhEWUgebam88wu7A5Typ1F1LoXqYVKZXeo0NfxfE48xwN26
s1lS0PmYtbZprPRzpiWqEvexquMrpBlvJBGWaz0HmUcT5fSlvhK1tFYW9T9CXdY1emi86VNy69GE
8cejG0sAsnSp+5APw8gTQtKfPXpyg044cNSlT68Hr4g6gMw5nKU8ei4VQivNQ6tKhpjaAf889bNx
oVNTgAC9JIeLbApVbmSjI4miz/2VFefATlwAnyI3GAtSqWhy6balXyfbrvdjGAH6qVCFzaBKHJNa
Z4nCV23OLyU1kKaKIWOa3zVVHs2wVNfNiC2oFWwUZ9y2blS/j8ggcaewv6R6eYg95yir6j1eaERJ
78nvWbDttcJ8IKgoX4cVf43MDbfU93rghQgknPHg5lUYhE6/rxJuh6rDPjuyc8oz3msYOhBeZHpE
uHajK9wba+dig6CoJQWma/1vZk6O8NV/xyLMMHCWsq34l0qjPn9t/1gaqU//bWlE7hxO0a9Cxvt5
LAJ8jAGHTgDEF2TsR2lEYJ3gQwZjClIofpGE/SiNmJjACGaQYRIn9OV1/QtQJqyzv5+L4IuFmazG
LEQSYWr9uTQSDDzBic3G2ca1ne4hvZrMCOr0KoGUJ5b2xpPLE8IhHuwu242R/6TFsl3lMPVs1rp+
mDHt4KwhbAVtWNncOEO584V+7EmbdCD2WZD7ln5vJ9pLCcwvjDjOorOhKH9syr21Y1NIuAYy8LTF
BOjMy3cmAKj3e9pVUr1eIKGRj25p3VaMHbPYfD9+8QUBDdI7WptasQcRNx8XRSM0cWEJtD480dlj
oTEczxv9IwZhOC7mdzYTcA8U3ZCa5C5XvEN2Ci/jrD01C1DDaamZkjgeWVX+qXDm+aiJ9BYBnMrn
gqQ4gVREUMQ/DNtPJEqCf9i+N4MB4REOY2LG0EMVmzFXlEaAG+96+kwnKVsHujHYaXtsuK1J4Ajd
rgk4S6E92qkiPxbSYqVbAVTDQ6XYkMYXJzKeQFHLYoDHOBXpHlxLzVhD61fYQasNujhmV7qvPANe
tqUDTvFQDuynHCbxAE3G7gazqMEPljU3Q2klwE4IfOCA4VcFpnnVNujLZJ0QpFPAushr57lcGhYM
PWhh0bAnK8uWsG91104+KfahH9r4w8b5Bh+2IEor0YOEjYIsnfLCx3yx4qKNr0JbT4KRbFG4T4O7
mxrUdDgnCOmood6BhLDCnZH2n6bPLquWNWsH8kn3hqO9DR1/PrIf6w3IBggqNaKYGI/xHsTZh6+V
NmDScdzgiGROobJY9b5dl3aSXXsWGhSDfOFVqjFn8A3gpCKziD0aWnsH1eYjnwx/BxwENl6jEcm8
lNEFvznukXAsXr0Sf6M5x/o+1MlDaHV4CAX4J6ZQXdoEhuvSbcPfe6tmAltK8uRXra0WGZ7WHEe3
HI/R2Dc70nO5NFTmYQXXZcMfT6zC1v6MkS6vxCwJ3xLWTnFy5EpfchzIPluqxvPEmw6+iZkS7L4x
Z23AlMVZ1ZUYNlRNhsarLJwgKeCw8MxFFw36hf24pEW3keRy6ZvJ8tgwDqzyPzOAM3sPJOFNSeUX
wLxoj1246LhZKS0afbrPNCPCUJzZqwJYJ+br+nHW/GitL2EHpWwsUYNM2JvbFy2qn7KyoE7yfESI
OUOKIQe3muguDIg5eTSK8jqp2/jb7OPQM2Uk8RV6MEwq3DdLfxMXmDNtB/4gIZf1we+dDyb639B1
bsfIk+vJ1z7HpFNIlvjF0pILTNvPkzO6O6vVnHWWN+oQ8a/4VRx6tp0lz6mmBIJd7t3rnn1dG/Ki
Mmx3VTTlydXFu+n4T0OmTQHoq+tuabyD1zT7cmnv2sV/qKUTbvSOwqbuG6jnc7xCGDLvLJMJYlJQ
9XikSbGkQsQibyO9ARoWhdWqz6z6aOvLKwM5qLGFuY9LeZG64dmzxittsupgBqbIk8LSBHw3tU2c
sQfFcPuWeIwJnbRL9sR3Y4oTvYXpyRcXDukzK+GULciX/M1vbc4svS+wG9XX5ajdMdxUAI80vohw
VDJeitj4zqPHS6L0mzVS5qgySecux+gmZyvPyA+Xaa8enkUP6b/UN+0qW26SMPZ3OvCj2yxqqsAz
caVywvS7NnHojOzJ31XCmDdLQgcHrCnjhHHn3dQDHw7b2MKtl4uNvyQQWRr7E43sEqRiOWA/PTO+
O+ZWcmn3U76BSGvurBEsi6VX4TYlvnMrXVvfZWFInh4w8r3pTDZrREp4ybYsxBy8M62Joz7h1bIL
RJc6omnJCrJRUQ9nAMM5pfSamfdY8JPazcDWfECR1yeGw1qbkWyS093WUReBqkRoxTHVr/5b8/xS
87B6+ec1z93rO0GTiD3/JJ9X5cf8Wu5A81bVBOwyShfIPD9NgjyHIdGPj/BZP7ZAjHssh1uZyxnp
p42u8zeTIJ0yyIDM7fHgsD/6K5Mg+Gm/L3dcCi716tClsKj6fV6IlQwFjcg0nqfMY5/KVmiLqS/Z
VIma8k8d0++05bm0xfAyJvmxankkHN1zaVfieB3OURuEhWcQ1OtsEBDSV8+Fu3b0WDvq3fJqh+Zy
YpP7MTp1S3ooWK2KFTRLW+eqUFvpebBqHtehPuFd2ySsrgm134w6coOYpXbemRfA0D7TaX4cWXq7
Ij3XLMFdw9wTQs2WOOFuiNWmPMkMHPlqe87GokVOzhCFEd1H4oqH0dG+pYP2MarduxuCAptGFgRF
mX+vc1btqa6dOh2ROtkIEHdSVJuD77zNarMP/MlYZ0rvMqi9P8DjR6mEAAgCnBImh/ulEVBqgajZ
9dFVFB+cyrqtWwcCQPixKKRBcY3mZwxIRTgVTD2WKXnKa9IDkCTIwr4flEZBTz7nSE25ES94hAOD
weAGGxA2lBpozFlpHfpMZtupgx1X+5ytDZKIHIxQ0CmVBILDZG1lEjyF0lAspVjW4CiXdRtCnuNY
bAOB6CKVbBFyzdqR6JDcApIwg4n1wCqZmXIYsT0EdklIbKO0HFzhwzrFx3mB6PW2bCdcmkr7gdbt
wHQoDhqLZbQA47vvQ39OH4tIc6Mrs13yJ7hd2A4yVPf8+oZlPVmUs8MUU6nY3meLsXWSw1l2DQ7y
r2as+2rMGhIXv4PFcjUAWCgVY2GEWxtswNnV42nNbYWSxZyLbSXG8ipfzPgBWedjQ8ozygP/WxpP
OZd0Rf6xSMxAq3qsErN37xfjwcrJlWzCHk8sOtXGMB60nuO3Z5q+mcKl2A0jIRy5yOuV22KcagsW
ciQmrKx2uJpgq9zzDkBWLFz47XU2XRczk0GvH6t7dAlvLVapo5uaA0su+VEZVAuLmOGQ+gaioZIq
QkcEkmu2Qc/d9fumD5u9CdfhrnZqAJ2lW9ynJgiJyoglIq7qvvS6oOscBk5QW5n12fvJYWLVh4De
E8VT7coZ7gCEVc1qpnWuqKt2DLUBVxba0jh0LrpZfwWaua7l+Mgit0L0C7+VOzMJIuFT9U5CO2ia
Dw8+GaGPL3UYxF5X7ODppe8pToZ9BoRgtcCfT0c57Qc0rJumQ7cVNIhQV47iy46KNCtx7155w3xq
mWGzNsKax06TJzMfmi25slPQmUV7pXkLId1GCp7DnpbNv+s++s+VQtrM3//5VfOrFPK+iQvoH3/s
r9Xn/3rhmLTKuAgEHlnTd37qr62/OaZFLJHK7ULb//fbBrg3rgJyzwxcBpa6VP5x2/jwpWCDeWiw
bBQLf81g4Opqr/CTCBK2pw+fzoRNxeVmq9voNwZh+CaTU+MyuC6MSoir1lTp2LOiZdrg2kZys6dp
YEWLAua9HkiVLqG+kQN0B7lQriz3bR7Q2Fd9RIJ4vq2ruKDVgB3bC/ekd6AhtQRNGmhj+ovS5yCL
Zrk1K6dfySo6aVqYKvVVt07C8tzO3XdN+Qdsf/wuKq3cSBCIPXZ2eJ/xcRIL0kk/udKq+rrRSzso
pbWwxnNAPYZ8zJ0bhFKsN5u+UbCV7ZKnrM9N702bjK1kW4HuK9q7bncqlrRepakaEdTjCxr0h6yb
s3WSGneW3T1Hnm3uGOp7O4N64BwREscklpUCHX+zMeboFRx/uWMDjG6IZ43K8FyKOiP12bxjklev
8H3dTKZ+kev2h+jyndUQKSziozBnTBTAGSaPTAK/41/7+1xvnlnAHMpJAXvS6LlsnWc/ebNGjPnC
em99/70x23OzxE92Ob2nwssD09KXwLOda+54ukx73OeSOXjSaVj7NWQecxrfURCf+ko7LVYdKrs9
l5ZJzW1DgzkkBgB121ACcl1cq6TxY636bVuTLspE45hIJ9rRyDvbOsquaID1jddOD06rXZhj3bCH
6C68Ev6l7ufnahb+ek5r+CpVYQIGHHcexK6giXsJhCfzdqkrGxAteOycIcS825v4DzI+6s4mMJbx
MfRciDz9taP3Z70ELMYZWO8aBsH48VnXpPClMSYgiRmjFeJ8DHF6c+DwRr1uahApbCtcj+VwRMdz
Irne5F82bwnXJPK36zHSD1HiQqQykx2j9Ye8E3vfmAqkLs5DR7Ok59FjW3YfsMs1okoIQ7J7R8m8
fLnl5n8uEqg6kcl+wK2etJ5BQdaOD5pPFcCnZvCVtXpjDendrJnzhlUWrESj/MxbnOVxWV2J2T+n
gtqmmyfA2uV42U/DuJm8qTy7Y457JWk8MpBjEFhKR9P1CPG5RF67kKuBniikXCF+yEqTp56hbRY/
WJ2R8Q6M3Q3PWiDEwH65I3+KfKBixSSn2k+GGWLHBrtTjVcCcX6QJ3RJi6bdzAPJFHNRL4Fr5qdY
YXARKTjY9qxmPUWLCjp/TXFQqvfanQB6NH+mOuktWkTl4bYba54gcZFf7onyEXHVJ5Ju7CSu+GwW
/cVvfUbw2aliYWQ6hrsCLCQ3zoxUdM7rW9m3r5lgGEPevVcuFwK8yboxJp2oZESq7PXpbOdPs22+
RVp/HMvuJqu0KzBwKW6VLljS6cryh2kN7TZdkaZEABrDaGyCkpVV131Wih2bTaPJIsJ9jYkoRP2l
Y4HQUpwzE8Lt0eMypnFkRKJ5kFDEM6cuCV5zA6Emc9476v4VgvQ44EA+whSZdlHb91u5DBddaAEb
aqJbR06vCYRyYK6p2HZ1i6ci6ox1K+q9Q14qsmDCzuR019mMkIDVbrIJQhu1nLkpCrvhoSt5JDyH
JQROiXIKT6Xa3ok+nJB3RXdM685l5d/5odhb08w8svBBsczZbVhVpygy6m3UedkzykTK/3G41Ggu
qEvVg20nTy4+DPaXY7rlWEXYbcq3qSAMoRcx3p3iggP9dhblsK/RwyPt7G8Y5gAZVtHgxOntpA7T
d2gtTEEOqblecSFDR6zTOkO7PtzENksEM2GmBqqH6rQxNkWU8bnDcGez9dsvRf/WQl1b+dR5K7Mw
JbVYreFE0j59YXBfyCbeeb52Q+n25lg823UG/VTkaqk6IXmCAVGcdOYQq6asnw0vD9edh4w+n9lc
/S9757EcSXJt21+59ubR5iE8xOBNUgskMqEKYhIGoIDQWsfXv+XVXd1VZJPGtscBrxmHbBoyC4mM
48fP2XttgFiEliH1Rw9jbGWZi02M4WtDbvsbm5FHdk7WcvDzDSscUMv8yRccd3AGTRPBzCiCDc47
PlOIV3vTHHZeYHE74JbBQyPZulj9AzHvNwNnIuFdLDEj2bA9dGSwpJvi6+aqQL6Y/wYCKroqtRn5
shWfJqi0CwTuwzIQNHFagmq9nbYKvywLeYmD8mPUebnGip9sm+XiUCODtbv8SjftihCy+cT5Py4c
J98JXd+3aVkvrcno1glZFk9VGqf7Ron6DB58JhCPGiLqNmq/DlW6gfTzwGEvACSjOeX83zdRcHai
6t6bkx3gkQF+NcCptCsAuVlk7MGBdnKU9kVvobCtuXIYjvMejYW2yuoiWFZFOW+mwr3V/axaS1BT
9KVjvi5L8tVYOvl7UU+vtsaXoQ17Y5MkLhsjhpGurx2iIHgFtLoKEsaJY1wiVC/4eae8FAl0wMIT
AW4m+Q62z9rQzz9bgsliXNkX0dlfCgzKfqlEcIH5GQvSPMwe3YFh1OQqjDk7Rydl2GyDuhaQL9cE
IrMFjiYUVbP+bDf9tWcl0Xou+cPWELFX4UT4T+zgobC1+FXA5EZWHC7byI+XVV8eo54VHPrl7TSj
Ne9MwFWdSHZx0I5LdpucdyoiqDLQVxVxDdbXc8m017gBukG96XVTsELr+1UhUDMns6qq9mOG5Zxw
Jl8us0q7D+vhofa8YpFH3rIY0quu0eUi6FyWbU3BLNQK71pkV2u8mvsORTZZ72gq8u4SpCTNmU1L
KGSpMZK2eZ5MPFJjoKUrI8n3Gp0TD2QsloMB/ZC4RaQVPPZ1yBES7yobZ95cRR8DqkGttD9tod1r
wJxWTgZbMvESbNcZio7UeO+n+uhxkkORku8NM3KkmTWBRzpmR2BCCM+RiNjJY5BlqLXH2li6nb2M
tWwT+G+AjK5oDJhTcj9d6F18KJUrpexi3MxRsfcruMuumzwHmiwxQMT3eu1ixu60WyfDFmkASbS8
4XFUWxY7nJHWlUW+rlpSYSZJKgELdH4dhh7IMGtrXRQWUrbi4rpTAbQd2jjP3SeGQzR/ZPStg8Tc
ME94Knse3bDWb1g/1tAkzJNpRy034Jhom6S8syP+RhIWBe3lSJ2u89No1Qi/bVR0bvseZ2CUQRU9
VmNIDerEA6E1h3FK7w1w8auhoaQ64q3vYV+7Q24u4FsOqyLtrsqm3uRidJHyYlTwSsFl0Y4/PHrj
sGfXC6j9Y85qrDGMjWFt76EQPUVs+lsnfih7ZAENXZ6TUPqg32Oj8Zg+F2nEP7JztmKsP+2Qls4p
RoQV9Hx9jK03jZ86J9/7DFmRr7+SjvYWt93ZsqoDCDt9FWQjcDCEkcyNd1PlEPyor0eJqMWvirux
wVZvASuRGtfumDG1CbgTFMFkEmrF1osdzlU9FnvGVMtUwgM7NLEOmDpwjOQmzWf7acL24l5Xmuz5
D7It+9Xk2stOltqvfJj/yuAU7uIfX0aVHW/xUeev9dfoz7Ie1E9/v4rq1i9EHLKU9YByqEvnH7NP
FQPBVYgZp1KhI3T//TYKoJjwctPxEKjb3EuVE/77qtf8hUGqSsyRyOQc6MV/ZfYJAudvbqMMFFlu
2w5+LBX38+22+sNt1BulVnq6GV5riWusZJ+1a5f54d7uyf/uaxOed1u1NYjISXMoasnMeBM7TRM/
wAxGwj3bPUKI2rBWeVUG9JJESvQ3NHrF9Nrplk4RDMZq7rgapD3e3kUFu8QcV+a3jL3E0at5z7Ky
DpptW2ppeOe2lL9aYltd5BrUZ+x/c3yfFWn/wOQuNpZpIqa7kKYkUkU33JQlF4EC4MeOQFGUN7Jz
vuR6zzp0Qur9pURQiwFVlvO0tHJmXkutqfJlYpbuxUz6kie3ip+piHIHQ4iIB2RQPnM2PeAO7sbR
Cf+22xGvMHNfcCPbX3qFAdVfZEs2Gx0gMSe7duy8v80MG5Rgl0CTj5y833Uada1LK/fF4NI/o6b3
innRo1OmyXAj6WBSTp1bxEQQxuc2i3Zp7czvmaHBKQ+sqcmXk8CCa2w6T8ZMmSyzg4fr9maL3ZA/
SLOKIMY/wxbVddaZJAhasY6Rcs0yGVXgGgLu3KP7H8x59uiz2Pytp7IOtg5j6Zum7uMXxIXNjec0
DkEGts6oEkDJfTaU157ZlGiJNT7NS64FvVgHjdKoB37RVfvQ0Dv2W5ERPyeQVu5HD6UvK5kOc/uQ
iyjdCTNvHWWN8+N9pdfxeMicyBo+7MENPjw8qlt4sT63z7AAgOhBNWy0hiWXBg4scaPmKTT1sj5X
3EiR1bX/to3Nf+6ETKEo/nlRWkUfwZ/tYvjB3+uR/Ytwdbafv7IylLfmuyqXeoSCRKG+JLqPb2ad
77sY8xf0siTBMAeDogc3/Y96ZBAVZjExI1zXcb8VuL8gPfkzrpBlwvkwTW6GWJnF30zHOHvDJgS2
egLsxiZWkiwdkEZny4TDk+8lxpl+dpAxAFQ2APHm03zXIScN0LddmeTEvCZhvjRbvPyieomdVNcv
uEkAccQ9WvdF0+feOSva+RCYXRrtq3Yy7vFGa3KvNwKrnudp7TnzTf+QTLZo10aSxPpd5GAAOFKJ
0uYdH6c9nGqzrOWNipLs7Tz9QAaPiCSPuhRLParcrYhBF3iVG/W3bTW1eys1GCTMM+qwta/ASLPl
YCBwqlAcDQVOqqsqJhEDTvs6HL1qWVd1u+7EFB25xVhXvj+X3SL2fO+1a4gEYffko7bD6j0vIdN0
l9CQr7DaXkCnvsc2VguQaASk2vKjbLMP2yvo0fussr5CFQfjDCi2CoZ9Pgu5aROtexlwGy16Q7DR
GpJOB3oxsEpH8Puoa8yvvWTw38fI7neNmRv7kGHklZYYiJX1GtVt1Y37uSyrraWgCjXzcbrFHKWA
i4qBZTIaWsTP/HHLlQ1Npxkaf+W22dHtvGIp/do5TVLO+8RiHRYZwDgtL9xyfeICEdD6m5MbQ1AC
HeTkyap0Pdzaoca8a96lOuYr4FBbXJ7woJssQdZJo9tY45MVkpiYDHO/4CTdFrq6xXOl4P47XCfm
iFEjZD/hpXJc1VwwsU+UxhlmSXIHoMq8zW07/4iFVR+yKsof455ET2SaX3PmOMdvD+u/oZX6Dy5I
rGT/cUH6fWSv2qWrLmr+5/wWNeWf1Sde5/f65P2C+AyLn2cIlzE8z//3+oRj0LSAz9ENCFNp437s
l+iV0Nzyf7jUth/rk/ULSQ/8GIOw36raX6hPqvr8NLt3SXmgRFoGrweCTXVTP3RLNTf8hn4tOIOC
XTTGMbJ+Q0L9QzymZf/ckSlOqWuqvYDNBMVx+aV+fo9ML4RXptN4Dat9z4PtbZjFxvXGycbTaKJ/
QYY8NVscr6CItRJAh878/85AHFzwSHn2yakdr6FD8atTV2suidAdA46TbWtiXFsNOQ4rUer4bjD2
rAvC6kr2oVm2hvVKGB7N2pb5g7EedFvf4sit1k0xxFvThvqR9/YldvJgS9SoWHUF294IRgrM2rqI
tW2ewdu8y+s5/MzovTbmr7RYF9HU2vuVIuul/K81qw9UzuE31Cz6b7CzZTVWNy0qEbJG583McGKh
jeGTWerHcAwh0jDqXXBX3pt9tQW1eTV0tr5wWu26C/svMjHvK6+5q2GAk/z0xZZZvnDtintpZF1x
710HVnUFax0yW5CA5oc+FIz2cVDDXJG5iz4ocMbRvgq2MXMxHWopnss4hkOfOkQ4FNW5JgVsBxmA
GbJ4C+1kQq6LqcDyrZlJlI54qUhXk+etp4IoYyBI2KEsQqTacZRb9JTzsZrKY+9r2zFLdi3BXdss
lfUqMmdGcyUoqOiUUXbWvkl2AzgIci3rvV9HtyFJXgRSynwVaAlIBCLKAqwMeTPW6zrM7oq6PYYm
KhfGY/b71Cc46BnvL1FlbMaSr+qoR2uL7pl+LF+hVt+PZXUaLNJCdPKL4Um7FGqWB4sglnfS4jpv
jhaQfqalzAI9pIu+RbGc2lNl9wwSPRIBUCNwFRYflt19hTPnkp9jZ0fTyzQuy4mMbsqcnQlBa5GE
NY6F1dG1g8dhumVH/85caj/bCA5056GlkpPQbC9cHGx+4jIA0q/wLd70OSYx9tdkHa0b6MWZDRSK
VICtS5jQqjL54GXu7BrRP+rKZFfKQPkQXriTnAoBsT2qx4NMxWXmRXs9P2VY62ZLR++ovRoNJC1t
3KMQuDJ9bec5X0b/pXDnA2hydyPjYF078oGJFrOC8a3nsO5atz1acJulMV0Cn8u+aSRorBLvGbPf
s4lnaVUP+pVnkUg9WGdCc6fMCpfhjKxLztWGCLt7d2werKQHbEWQgAyDi9WXxgINJ81vT3RFkeyl
I4AG9vqXUgvvXTd70MoCD8WwUXQNwxkPlacdxlEgH43tA23DNrUZyKHmW5mF3u2tzmpvrSE+8Psd
ZSxekJognjXTaEHsCttAs4yvAVslu1HLjOdicJ2nxi0gDY3T5LOm8ZPb0XcaNpGpjuDTr7GYtuGq
0hTyP0VJFbbkUVSGRsQ4j8VVX8rourNmUkTSuvdZIbJv5AlDfEf+uocsxK189222kemH0v6iNYa9
7hsbAArxlMiFe6SrXsOXmRFxT6TccXLB7weGvG2FABpYDdUq6EuX9U58BAZ/l5XJsIiHAmNT2eDZ
9CxmuuR/sJmsOlYuzshUyIWFcvLLkA97hg2Q2MWbFUBUtPGR8Mh5/I3kvQjKhM9xSrbBFFzFyP0X
U+LfAOB+60aPNSkO5BgjuK+JO1yez6ZZvpCfx5Uz3vVx++nUwzmVc8wELqRRGdJnI2ZhYTsvQGYY
VjeExen0Mf4QM1BrcjR0xDE0vlxNU4S3wlnHlfE1s9txW8JKj/P+uUcHK62WeJSoe2lanEY1f+Zk
ACTnPOp580V2YGv0AprSGN+N6XSVe8OurdD+aEP8GITTPhp4RMfx1PvZNsgIjBOpfdu28xkVyfMY
yusCT5Zr9Y+DygsdgI07ZBf1FjyUUcBKtjzsJ8kLY0ssTrHN+k6i9U0Z/bVutA+akS6VZKxlLO07
KI58gqlO45U791UfHVqTCLEmEs+cBDBeCligWOxBSLS7Ig4eJVOvhSnqnczMNeUG2SabpZzfPgud
K5JvSOgLDjr2EY/hlY9JpHSTM2qwXcJ0s4FYuciM5FVztZUcol1HJMui6vxX0SYHPutVxJwc477H
hmu6aZj6LWOrOcRC29XSfvFFSQoNHWbb3/kE6biunDdIuoiSjcILprlPX2CcmMiSEVZMauEcnTyZ
biu/us/yFnFjXuz6oK92rpepYA2V22cQhhK92H5xFDXzasMo2k2eCX1RWNZwEQbWPJdUG1YJ9VNO
INtGE+5ZoKflulxVCh0GYyscs4207fcoZaxJuK32NJQ23xeGFusJyeTCtKL064j8hv1gFpJ0Nhmn
IWz8zx8atX+Fgel5lgn9kC4EKQR+zJ9bED2RepblvnYdx6RqfEm8N0tu///e4m/ueRPfYjtBwsOW
iaUyzJ/yPMaXf/4ezNZ+6NZUJ6V+DVsBHtjgSPNvfg0DiySAMtYw7EQpjue5JYXgXtNW//xtGMb9
3dtImlZL0Z/VJO/nTyso4sl0kj44dwTUVJBqGpI4tOqhsy4Duxa7AZUi/zt51b8pTi3a4X/tTtG+
/s8yfa1fuTvkXEOn/df/+3/+eI3v9wmFGWHgwbRUMk5QpuE/7hMG/5eBehQNDiDSH3GjCntm2aYg
B/ebRYc/6ff5q819gtsHcQXCZHgK0uSv3Cf0v7PacF/B7IOIVUreTf0jfrxROHqgp2kti7PhAgrG
DKjIIIrcg7UEWVqg7wc/2aTmtM+znOkp/edz5jkHWoWN67V0YEjbGcjFUjvPGvp1AFns1Z3iKo0c
oGFR/WUSbNnZfazcRgkqtXbdT8n9r4Es7QxXCYFHXsTOzRhg21/Uc1yKNSEfZFS4khsCAoFrOJU9
2yer34Z+CJZBsjfKRUt0lO4hDK/RXQTEbZB4N/sFXYaQxa6zh2yl+fjzJ4iO04SKHuuZXIUjWbh9
Lx56vSUpdVoPRtsAtGIBjGSWVLhavhPDhoYl43UrD5UTsvVvMCaMNHn87iGKXU8+UZZdxpGbTrSS
ueXv05IwPFbq6yIHgCoKMz1KqQ1XBMZ5ytbHhr+OH5gpcByl6AXqID4jK11KJfUfZqQEdof+rMJb
kFQP6ppXVvqwYEd9ZY24M1H0KIhS3q1yLS1pHkS19JRINam6U1nGAFmnIt3MvYbAUh5kbhAc2996
COzV6S8X86DvHBNAJkKhr2wtT0E+X89G1kP4AtXZxfVT2mpLX+2IAVRfdaGLuAMlGXP3bqnNDCyK
xOesLTiWyjY2V6lh7+PWvkn8CW0Y4ZUrYw7WFZv8zaAV75WBhdsQDVwLjDuVti1EBoczOqMCOpom
R39mNUdUZuTQdM2liux24SZ8NIImbG1xJDZ0sk3cbavKPDkyBGXnFRo727hg8JOvklLb1rF2Scai
OaHwavnr0UZ2rn3L8XLiIqtyspCMWJnlLFmWlguzmKNFarUNMTwCIP9Abx80TJDJMejj/BRY/stU
9dMmRQwWcN1eyVZ8sSqmeWblkKkQr6aqtVduFNzgf7nSR0WKG8GYeV9reyi53zR8ho29D6pIX8y2
vGq75hwVTaXdFIWTzh/TmCY7J8sYapVfcBhVOLbAdyr2Wc5C8hC33nORiNtW1l/dcmIUx5Z0DjYB
RpuyGQ5eq21qYRyLNLyOiuIwxs11XqSXPqc/hlWLttbvhr3ty0/uOF1Mo2pa26jzHeaWeT8jzplP
QVWTZsoucYOkdVwMps37WtsyrbeDMzdrgCrYeMxLLZ8bTDnsPb2HHEM6nN5jbdQRrAwJe8tcBOV8
6WYDQByoLva0NxS7RQ1BxQDUSeMFRtuv/Asb7Ct2VNyIucQUXXTr6I7Srt/NmNRxbnBFCbHtLowa
cqeVEdrrBbq5gcUdbczE3oLjDnYVnQnNTeiSL4xHSOv45pACyaqGNPFFNmcXMmyfHCv/LGrxNXMN
yApF+mVmOCv1RHlbiDKUJnF3ovadhROXby5rkisIyyfSdCgTQlyyIuNhcCr9jFfkw5xZJRPk8dE1
wBYye7zFIFfuzbx/oQPeVJZ4miLnBAtg46k1ejbyvLhWY+FQCR5zNhNMAFFKuxNUM9R9ZX3xovQo
7HgzN2zkZeVfx9BUViQM78ji9g4Mgx9c6IG8c780PeteFwhdQom5fq70cl2O8biuNOM08hhcnMK7
lVOzI/AXx3faY34iS8coY30RFbiApdOu+F1pnBN0MR5hm2HFYrmdMH4TGLJm+/MZeO9R6dw2rXmb
8JlwDpAFF+Tpok3dC/L/jSCEjBKWWAsYbmAl5oEpbR9vw4pOOopTD780HFtejv1+tZISRL0MrsOY
2Sk3sf5oaXq+5g867aQx3o55utKzktVcESH9dvMdsULcu2lR9yMRkr7GDgYWERM1FljOi2jmiPRR
copGAG2BNW60sLozIhgQUGdAV9od+CYFSgia98SAJqw15paRKuuuqjoFDSQ5wyjvOjleWWgiUGpX
2w5+sEzKay5x6b7UBwI9x1uB7pPw04k+2DkWlbeDuTvch/PUbYbO+Eg8xOON49xwUcBpn7Ic/9ZP
/BvmsP/LyS4Wm55/3Fgxo1X9FHP4P2mn+Mkf2inJllCSI0EHxDT0p3bK1In8ZJ3suu43RPv39ZED
6g28mucRYMJ0Fr/Oj+0UqyWMhmrX84338hfaKUOy2fqhF+eViC5hf0XQBR25+qf83E55vlaQo+AS
rwdxcwOduQY0grkjHfPHqDbhaaicvsbAb5EmGOpJWNxXUv/sORgXRZYNBzLQTJzMCRoQ0e2CIlhD
kZHIQAsCAPMu3igDXOzEb4NfAz1TSYJoORQKknRBhzkYLPbJu4RV9iBrt15UgznxNSdTMYFcGrQA
D6JHYvTuOYbzs6P72rIY6TI6MCRrwaDukKXho29hWk0874bTeFzAM/zQtbrbBKRC3Oc8FTZPR1yO
00agCNOa8ZZGBcw0DxJj0uueJ4t551aqR63nmcuc+i5UD2E9FadGPZZBa24ToqpAvjTv6Etm3BBB
v3bU42zyXANwu8MZsQH2QHiDVS+auo72PbVA1xErD+Nw3avsNXcm6/db7RixJKtqMibQadJaeYbm
W/9bxVG1x1FVKI2Q6GQUJjDSB09VKoLH1jOlK1Y1LFLVjJK0HVR9q1Sl01TNIzEKbD1ZER3l0FR1
ERUudiQ1UKFkAkrFlvPVoJA6vFynKmukamyoN69hl1uYf6i/FoU4VhWZ6Ze+4C63QFOA8lDVbZsC
7lLIGaoXlyrTT5Wq8UJV+0jVfbapxnY2jHtLnQlJ761cDglCebwDvRDAHs4Pm4NEqBMFpvqGKMQj
yubLwJHTplgcOYIKdRbpMnr01OmUq3PKVyeWx9E1c4RN1fRkcKTRIrxY6ozLzP6WZmZe6Bx/vPOI
lzf96NXJiGsLbp8+XWJ1avocn546R3uzfiMX2lmA+jIAi+b2S6hlzrpykBCgPG5AFc0bmcAOgcCJ
lrXXnEMZFM3N2BSG8u0GAPTMstIWLChoftzh0KNUdH1nU5fjTq3sJ2ni4vLrZ89Cw2dNOem0JW+B
5xlI7K4eUGt1ko/YDXwivsL5wSwLfYEOf1iapXPnVvax1aePNKySFbOG29QPg6M99+s5g8CGUlf3
0OwmNuNdqHZf47n0oPE6X0cHUg+6OeK1ejK2Cr25aZGf8SCe/ITQAiZxJUowmloQ6cD5GfoXs6Kg
ud0CFgc/MZIHgE102sS6/5mW/iWtpw7ERyugyXYA1Dts+hgbjpWRi/Us7GoXdDO4lx7DXH4YYgPJ
hW88x/iXF2hI26vQ0sTJRL75IYSf3BfCKndp7zL509OQ6c6/63T6z90SWoxd/vHB88eWMHxt2j+7
zPPjP5w+5NLh2qJzFd43Zujvy0GTWBFu0jhFhaXgoL8vB7H2IBrn4FFHEHZSwQv+dpkHqWHQ8qIW
hX1u8eN/iScqFdLj59PHsjgAOcoYNhkOK8yfTx9DvXmZVin5Hg6KZQusr24NX9hWkXVQaecyZJZN
K3VKUmOkFgPYn/BtuzO4y350P+jKmTR691aSE4SpV+RwmF65aAgKL1xz56YdtB9/jYV8N3Btysjd
WAyMCsk7fG5kC99h4BbIaLYZ6TIdJNFt9+FgORggZrca8L1JLylt1rvNpi+YwNiYTQH7KMq6XVzW
OwSyx4bFB5TRzUzUKYY6IIOyJxW0eHCG/nowwo7dkhVtMXu8pjUcNCGeQJHLjeP7HVu8DMU16MMl
ShOsp3ZzAK/eb1y/hN/HksWM10kY38EkLTFDcivty/Em1xVYwS03g60AiPzjjiaEkuXsDjx8OYp1
atjZM9OvYCLK7WSgT41Ql7Lv8u/rtOBR7saVyAeNghGfEossqAjZAJSFMl2GpSOXzlhMVDd3DQTi
EMqWVdqQPnDB09jt57TAxU1IgMEid70D2jF41bI9eblxX3GbYyxzE42Rtu7UhoOh4lbM7qeuqY2b
kd+MIbMay/We41i/nRrEwIy8HRpnMyPy3ryfs+g5Id94SKnZkZsw+46ICie5Oq7EJ5RSewfi0VoZ
UTetoYIgQfPNm64NH8OYf39AxgQiODRiNpmjnc3Oo8xNa5014PDjBI57uhpQ2ltRg5Gs1ZmBRLyP
GJvF5Hs5XUv4hNv3dqyJMincErOSSQRpgFS8yiFwthNs1QG7/BKckse9ILG2WdGdi8JlyeDzd28Y
R+hjhV2nfNa76KqNo6s6IkdWC3Q2h2jpwYVBgvCayVjiqgXc2JZb3yyuEaqQySwd2hJk8UETXYu4
eK7iKtpUKUtBQuBXI3Yje+AfOigBr57ii9DFxTCaZSkHpS9BGxN0+yYvHzqt3xZNfgqLYmPZI0jL
LMLl3PTe2rIHbrFpyJhL9E/sLT6anlSAeNwOUTmxVsErltvFWUz8VpNzKaqhRXvd37lJumnJ4p6v
2/7ka9FmEt4+GPOzLvOL0fs7ljtnLFnA8qd+a6j2sCNNsivCmWELQzubHoYvaOQvbQ17W4WSush5
0TyT5RL3e8akCJdZJvrPMBmT1ZiZzppQHB7VpHkboWEPhQs0f+z2hVbB8+s8b6vnch/qbERmssy5
PE0momtcKFtWerSkI74ruCTDxtNc7ugsEIMxBPPrJzGgc+trJ9kadWHytTD7J9SX77Mz4HRp8GEH
5nCZOoZVaGbAiLd2u6Yc9eaSpRKRuqTctkdqj2LelNwtxwqyfJ61e5kTYA0MFkXRA5krLj4VTOnb
zpqwaA1VDoTCGet57Xa4idZurlnI83vDdHdETEzlojYxNV9jf5y6O09kens3eLVmHruxK46DzNPw
CdyO0Z+TttwVys9TxuQPFhYen0i5fSoQGzr2n0b5gNpkPFio8ze18gi5mn2UzhitGLFaADns96oA
nZG0Nng7TEaJBr4n7Flw62K2D6byIiW5i1xc+ZMmWbyUvvUaxrWxal2cNeZcfQIh5fYfKiiZcjoJ
5XmqWwzGEzaoqWxWY+TFGwZgeLzqG83vjplbvDCD+Zw1kwZZmZwYnTKekemyMccDWzkpgO55Tvka
EYON7B2WmQGBg0EzHVs73AkjvvYxcWnx9JyGxues4+5qAvmZ9NkXZJUrbT4YygJmSTbleMISNSYW
IazCkYzyYxo6J5GkYuXhIxvwk4XfjGXKYlZF2CL4Ml7bjqIhSo/bBo40hufGasD7gpS0O81iOnpy
VG6fuNw5OXOvhkX61lQ2txJfvqOMbzMzIWQB2n2brGYZPBrKIudaMXp3jXuTm3gDb17jP8JTZ84e
6QCQFVYm8RiESmO9y8ZyWGOrvypdTP0ID0Dx6845GvIT0wa4BMT6eIgTmqyh/2pfbW+Y1iB37ibl
90OHm0Ic4gCRcffgK1dgN+SPTMIPsZbwb8Q42CkHIU+dxXcAozXaRm1ZYzTE1/lAgd6IMr1KsrBd
GIG5M7EmsrXcahFeRcJ49tzZLj2hDp4s3iLlauTyem0Jdv/K7wj60SedRK9h/db7QOs5Elo8VIaE
UBVimfTkpAQl+TJ2jWrbyGhYRlZzTjBa0olscqP90mfkGCSwvi3lyZw6a1wnyqcJ96JiKklMN3gd
fJrKz2kn/ZZwcX2L8cTdt3ygSySSZ1EqBxSG0C7nulfZzK2wiqZ5IRCgcAgqF6kWzcFWG3RS0D17
OQ30zzVP2jHQjYutfKhagyayzUW2n5VLtQfEgk5AOVcdc29Z0SXs4i+aKNhX5oz8KXIUOCwRc2bw
SEj3YiD1I70CYKSNTTYvgkfCg2EGOO8zNtrRFpuygR6V4LANSnvV4rn1s/JJFO7OtOq7AU+uGWvo
KDDpijQ8Grh2A0SVnWN8eAkqTVy9wH8h/7XiLleG31yTcAjr8L+Dn9+2Yf9UNvxH/x01REwV3Z/M
f3iBHzpwC8mazoznO5Tlhw4cowLqO5v92K9Dnu/meiL/iAmVgsaNuRGi/x87cMx+yg9PoVULOuev
rNMgwPxdB85QygHsZpj081j8f+7AdbYYXVLbxWWsBU9aj7XOwlyJ6GfYhQ4lqZ9AnsC6EGd+CXEU
aUZ3aUdOsof9UjxFmd+cmHExZDTN6i6mguzk2DXXQ+KXX8sWNYWjTIdh6kyMKghBXZaeNjAxohu8
NHXWnqs4tp41Ybcb3Yc1s+SRSldz7ufXCWEn0OYwf46pPAc6eigjCIftjNT5AX+lfE57BjWDIbtT
24QOKUQ54nin05KNLkGumJ1oF6HZGB+F7NInKdJ8F0hifPLSb1570DvrULiw1Gtv2DrxUB/RxpU3
g3LAdrjzmeCXq37QLZAjGrHv7wXJGtZRx+45jRuUR90WHVWnfViBF4fXIWi2il62yeuzE9I3OoE+
hndh7FHuhw7j00w1coZrrKTYW0VgMS0CGYacKF+kfTkgz6CdiI62ltM3o42e3uLeqDIgTh7aaH98
tofUfMVZIgvUfna+YZIsD1MH0qUdivlVLU1ZThIQD0QNlFMUQGrzyz5445sULUU+z69+E84fdjQ+
4ebc5EF00BwGNplOczNI7NhaOeADdPVu2iaoiqh97XSVFCOxMq2XMFzLChRr0RBEmyZrTTaOfUaH
nVSPlhMxT/P0B5NKvSs1lAqhGPqFdOsWYF9j37lhme1bjcCIUlT2NbJtscoM3JVM8CXW3UZktKGp
96Y5g3YwUxwR5ZidkYZrq7rtyVnRGN6th7Sq2tXoR2QnaUWzn0o/v+Ua3NAwzPZLQAFczR6WtJH+
7sqJMbs2dIrPug+DZZiVnCiZi+e5G7UjX17yYJx8OMdB7T8RGj085Moz2RVjdKdFY3kJldsyx3+U
rnIM7A2KGrJke0wjLTdH2ayCmqNiGRCPtDN66rDN2io1D844mDeMVF2IW4Wtf5TKoVpF5Bh5FPkF
2S/y3zbv+N8+jUdR8K8MRQrmeH82FOHHfy/JBrJoB4QWOqXfUlN/KMmoXpjVY+z6dbzxnXdiEqgq
CTzz0Dco6YH1g8LB/YWMOIPXUlms0Lr+UlI0vfxPJdmVQkAtZS7jQk4hwNVQJfsHzTQr37RMRCzO
qI3QHkqXrbNp2t17HXfr3uIJFComUPNZO8a698VveyC8KkxQSuetzdI7R8UMIuVYdW1L8CAJhJ0m
9g2JhImKJqwhGzLvRShm48pNTP0F82mwJYijOWbV/2PvPJrbuNa8/1Vcd9+szmFxp2qQCeYgkdSm
CyKpzjn3p39/h8EWSUjXHnCBqXfghW2ROgBOn/CEfygOi5YNMQZnWi0dJtgf4gw0UYQfYiOcEduB
+NCq7FWKFMDIkWWhuFl3ZjbNpPE8Ev6K9GgvVa3GbQ3nRSNKMYGTFBRWYPEKd0a3DbECxbDRc80j
yJ8xTo5IX0DWMMLLSpg8lgX81cQ4SmTsH0MklgZhCCnn+hlKBfoEIZuj0cgp2zdHduU+5E53FKjm
N1WYS+o9Zk9e6gLXJV6jAXBHsXFeCUtKivlCp8uejVX5NcC10qPWg2K7VkxpLH7pcbZsBBsjQ0EK
dvjJIMwvFb6DixtmMOabSthjti5U7W7AMtMX5pkpLpqusNMswZ1yEJ1VTfcNdKJg+KrHvV0s6ycr
TgBikxaKi40ceOEaZ5EKyMPAv7MRRp7D6HwNTWeBAvEJemNLWVh+Vnh/golDHxU3UBtX0A4k8LzD
JzTw0cfmZgjJnqOvhTATjaL61hi7IzTTSmCT+I3iO6oqmoe+Mv0DX/dnKd6k1CbqqYJbaeU61Nbw
L1XxMZWFoSmxsbPuzCafw8t7SD3rynOHJRKm/ZwO83rIVGXSaNJjr+dHI3ePGdY3/NkqzWiU6K1N
j1sF/eiH9TlVpfjY6ZNr8zhTopgUjniXIuMMxVKfhKP6gZL6KrTKpdkSttdN6S34xROlKeZ51pCi
RejWtFJ1pbTlMjSiO31Q6K9Dmcttg5Kb5Uxr6NSzNE0umtAfFpiyLfR6jKcjrL5BGOgBdbPRSClP
cieuEDV04SYN2lL1sqPI0BexA8cmQhlHj7p16NchjOvhtIRFI+vuUU2jC/B3YA33Der4N35aC46h
A/LdRH3zUs1RJvUmdplIF3LuFJeoOBKFK32wqDV5AVob+QrV/RF5/aNrODLKrlQo5cJaW2n/tTLL
73VErJBn2YXlOUvJjy4UmlFgl40p9ddZ3kN21KwWYTe5XNhGfaposc6XA/ZuUazX+nCV1b0Ow5mQ
zYmtcRq2FfQldKxrDBI1c9j0Jpjvvv+G9vVcdoYvPGhAlaF0OATScVr4Sz+SDlMwK6Zw3Q3jmSO5
K7jji8hGmLVHj37Qx7WW1zdKUQJDhgahQsVu0QmgIMe9GuAjhE2JkPRfdlRxkjzhgXyt8Rgf+mbR
2Bg1JQ32wEj2RKk1GxKUDQLnNglDMDmlDwzawXyyCKBsJOgtocG6IiI4pap2X3WY0tTDdOgthDp1
Z4a73QmacYddSciRqEiwomzJszUAGjerpirvm7I9o7szq0L9GkUQCgcDRigRbATdQMY7whBXpsZa
9IqzQEjsymjcx8KsWJ0tQQlsz2lltSvFI6mVCsitWnLuyuBcfKDQyKfYE7hpU19vTjorPUJgivQu
Qt7Zs+9iTag72CtaZ1Sp5aVjNfjetDeymh+6NP+h/FrzKIw5//pUmuRmdqk1Tj0NxvJMlz0khsOV
MJzLg/bUNcdrijGAxesLV23WZdGCvzbQTnaG2TiqC9Ms55qkHFKwaWcVgrKcwtrCMeojwruFTZg6
dWinFLn8PXYBU9dq803D5xGxBUM7BDd7rgizQc+7UEb72LGxTxhHynjm2K1lM0J9jS5VlHvhPJEC
YUhpNIjx9udaLC2ieDhXHfsHEq+U6/JZRTGsKm2JghMU4Q4m4FDn57Vlf+mFqFJi4CDZJ4Yz70M1
vo3QyJ55efsjrBpIKvLXuElBY2XHvoOEKnjgS2A5VHXLH2hwzZtGyU/9vl8U4fglUlS4C230lRN4
XqXGRSm5WFXLzp1kljd90R91iU/lv0ksemb2tFZIjTH683sSh8470muBE9MHNB3olVEvLgZ9hSZs
9LWNpY62GlXzhTTW3dTu7XksB4fUzMGSdck4w2LkQW+1Zja0GfIzpbJxxvFMKcFiEy546C0pCwp5
IfaSeE/UmKM4dXQC6JjjcugxL8nQeAnV8wwrBzoV6BkiLdL71b1BKamWBX5mOKtM+IAq51dpoRwC
deVLP0hf8z67jgMwKag0zPIYeJY9dGdtBIdRH+2rMc2BtDVhc1FSYp4bdFFWeiojrwd6D2U/BVnO
Z97dL/lW6luQMIgBy4SFABMG/hhpIy2gN+EJ3G5FHxzNOVOuksmtsWjPiykwo6mzub6sTsDFz7Np
vQqOjWU381fZwl8beHae+MvP6uz9L490DVLwvxHpXjdgeR8/Fh/EX3+NdCEog0aH+0d0ihafRqT5
GukqKODTw7Ppjgl+skCYvIJPzAMiWYjLEJhfO4OvWF7jgCYdTx+0io7tEHWJfwI+sd+3/3hjihsy
n4ESB5Hzu6UE304uUjonpzi3BBNOjG/kUb6IZDBTa+GGlbFoqATTIXNPgtLuZobSoSadtudJlR1a
oFcmFRkzB3gxw3HtiOLbyWBBbiAQuZLl6KGlCI0TZotUj9QlSE+pJ6hewy2RTW+aVAL2It90pIxq
pd86BfLqtu/oC1ccxo40LmJdkuCZ+QiaQ3VGKhqDzzz8Cpr3Wz5kX1ofzlpWVzl2ZibGevVhCm6m
dqQbN4XtBkxf04KTNvKP6yz4VmU2UmKOdU5lH+8az54nfDHwFHBx4T+sGyW7SwZ5QJRAo4FZU+Er
4g7SRPdlUPNy7tXdQtdHcIoh9iF6F8QotNsPhY9zqh2bx1UdX3fIBk5tz5gbkX2JNeADKM/zAFsg
rAeQdZO9sJ67HRWIvL3FRO3erbM7t1DPuEfuyW+I8aPSmzdpB0vMSs4pwKyEU4Eeet9iFVpSHtv5
rMPIiLA5u+8Uh7op2qPJgIR+rmrjbNATZ0FyUU6pXh3XVYSbn3uM3tZsDPISfaZuIZfd2nOclQdb
aRhbFN3DRysprzUIftj93ibeiB2rKJPwkBy5NCZdR7ynygjgqX1hXphtdeI7/Y84dLIZNCNQuq48
bUrSCsxYb3TPuNTrAb50EF3rnvqjUc2WoEf8dQNtNFQhbhNihirjxjANc9HUcK9wNgmXphnfZTry
bWregKwwZGwZrHhaQK2ZyLo0McdoIVs5jChbXha1zxUUwcVqcp4asMNuqhomwpK0EwsocWZQVUu3
Qq4JRao1Uo/erAxd0E3deGnFHJCpsWgKveAsd4V4IFhuue4548cq5FhnxRmUQab2yCIeKp5hoube
vCvHK3ikvGtqk0K1C1durkZbWwcdHV5LRSq9KlyupRi4Dyy8e+LBWxuRUDjd+XdZyRBVz1zsVXpA
tHKwIl8AUiX5KxnToZlkRelUlrOlSRyjyEEzhYvqrNBXHiZaaz8mYXFMSwJfwSrM58hDHpreMMzU
BjQXQj1YDhlrV6BtWY3JBGG371XjoD5YYnKpjyBvUfNUj/Q0Smc9ZBrvMFYdX5tFUXej2lHZzkup
8oOvTINbn6m15XVzMzC0hYnVX3ptoRmXzWB6jYgWlXHlT5E1sc7h1gfm+VBAR9KK3rsLyGGqmCU0
EYT207wi/gerPrU7kmeuI99yvCu/kAUz0+gvoMpiqVEE6PlarYYzAl4Gs942q+KwsWR4lkUAh2gK
fC7GJWbAn7OLQUabfYFqgabeRp0sY9CT5g3nTOwD6TKte9lr8BqLUOrD8gJUkyNccXSjmKPEaXnX
cm3F1Z3qth5dIG1UIQvKiel+gwjq6yeySmIxwe6wyf+vbP9ctjeok/ytexMdqyTddnMywJ83p3Mg
cDOIQagKUZiAwLzenKp8AFpFMS0ITO9uTvtAF9UjWcEXgV8RcrmvN6d1YPIH3J6OYj4V8P/JzWm+
g20+1YhkgJumotIH0J5gpT/XiBTMKRIJ+OXZaPhrTQEs1uLo0bOpxjTMFq1BIw/vmRM9jxFV1PSV
3CjLIK/P/IaUD0YAXtagSCTBHF53Vb6JGv3OrSCqpPVJPyrHnqOvRt8suWGyYepb3l01xBe0u6K5
mSQbqmDmVMcUZeLGLNGRDXGUDMC444jbwk5q2ouaf9Q0mX2ckkfZvigCiDrvSDmldKLvJl0pzVXO
fdqbeWkQajvhbae0AgtgntkIUXKmgPyIsI8/A8PxYGYZECGa9linWyiAtpFySN/wuK6tQ81NrlH6
fCRfPal0R+Q91x3ROmhJb5mZzZFpcGBkrXlmZNY6rmF4O77xRYPahhDSt843F1XLiVoqcOY7xz7X
nfII74+zsItOwy5c5JLigtEDZIlCClC1UrpxBNkmG/OZbITHfon1zpgP0LkjggADn70kGlH0NZ1k
IYXOt57L1GibYx3gzGleXEC2WSTUkQYLiXKDuo/WXw4KSV4YgjEixdAUuEKxdNvq7g1tooXZILXq
tJ2x4hD6HgzNl1yStVkyQrNW+vB0aJm6Imou5N4lSYnM5GuhHwLTtGsYqB4E9cJqTz3ZXrgUkMCU
mt10aNorH1MK/hvhfDLhWV2kXxs+hot52TQKEAzUu2xpBDJzYytT5AIhv/AcwhBvwVC241k22PRj
B+0ysEEldO6DXnA9BqZ5rWfmpaRa+LjV5rGDhSHSxBbc7pyeZFD6lxKFMwMGx7GRUajri/DadtN7
m6Z96ibg1aOHMC2/eg6hGMrUHaiVyFzlrtLhqs516WLVPAX0tNB0AV+1KDviYrzIg4bSf7IyxohC
TruKVOwz0qanHw78xzaMfKabVAi5xW8znHgcyi7HvsFsFzHipKCGkDPvlQqgF3BlCfDaZOzh96P1
lJ8A9oXfHqFq2qD+KSPHlwVUNiFi2LOkSZtJXMJnzfr4GFAQ9Y/qNjCtY0M3LtM2C6ZWgMCMpIzj
MklRG03xHVo4A/p7gGy/5WlxZbc8eKPzZoMxnsqNi7ugpMy01rh0cvuy6dxVp9G7Vlz30CL0mxgs
elQb7EU/kt+XOPXQn48q0lbCsbAokU8chw0sNTxhKvjhMTM6qbE3q1tpJkcmOtEUypQYghNZwjKA
WjUfoku471hYIivsjRspGjZ1a157fXsdxXAfevs8UqGpgJZAtVSFu6sF0lcaRchqws0Wpm/+0Jpr
KgKEhCJwoqaKQqo0bHiuw1qvDDQ0coAGiHrMVEl/VPsKU2jppJfrdB7YQzqXh3ED62k15LUxxc57
4HGhVEaTxZoMJWQvteiuEqvLcKislaWreoSHGpKvXYtZaNewAvnzH2pMzDQYsTvBTMlCc0K6RCH6
sUpYErqZBGBfrS95WZxWMQQbVcGfOpfPLKlbVCG6rZIa63MiYUouSrjw5bE8dhUEP1Kdp82MH2Ga
hTRzympq6vROx39ggXIvSLnAdqZti6ZOPHgrF+DVKlMwpjYDXL04GtH6XBRIDEx9rvqx9s8qYRhI
0g1+MdCusMzogKODq67kZVjq1/nIWZkpV4pXqNNsBCQvZ9bG8/J1bvprlS836wIZt3C5+SKZozJ1
MRrH4Ar4TmmwqKPKvWvN8a6s0TSudG/lxRIGeEozTzjg4HU3V7mtJFjc8Hw1CRojWuDTDgSv8E76
TjOMowLTPd8546BbArSA06RX1wgIfY3U+qYsbMoQUXOjO6O8UtROmcmy6h8RxlLAtH1jOvgEg5lH
QzBWtMOyCq9SU1si0ET8Hil3XQTux4nDhYGlJ0JK1BS13CTCU7+25kVXrUf3tkOZ3NcuULie0Mf+
ioTnlwCxEFNJ66WZZtiMosSex0q1kkPzUeGgnyu9c94GJlsbKfiVZIDCscwxmMdW0EwCXZ/hz3Rc
5fFl66grC7k9clBsewblik7ekZ8NIw3U5saqgSbJRb0u6tPWBP9nNMHEo46mAzKbxXi4L1XcRacw
+W6UYVzCTw2PkbFWUGUpT5zBkhawA6OFVvfhZESufVLlaPwabjLvcm+NuJg0rbCuBLaeeYg7D42m
roBkPtpB4p90aU1LHjqbYd2EGVBKTCsEOaoYh1MF5eOpX/GcrQFQpGfXRJcA3Ti/1m49UqOBhnEm
j9K4cpFFOGwt/5QisG1vQKENy7GHPevn2PFyeYQ0mL1FYignam4cchqtTTLvyNbhxtUIREiljuGn
lXNCtAXi5pW0QuLzVNcrb5X68qM2yI+w475z5QCb9XvcShHmtWHeRzJfnc9YaUo2w00bVSzsuw3P
X5LSUZ90KaQjEXYLm79dDgou4l3hzwulyuBA4aHZSqI3YR55THb+HeihoruXQH5WktSpp0FJlp0D
wQqaRJmC5frC9HOLK/EjvLN1q3rWIi/6i7Iyl6FdgYWn2bsg7yenKmXhnEJ5Vym627TGeLSPrwx9
mJmx8SVxClKKEGXqMTrsdHNRBjAW2SdAvPqFUufXVqbfc7ie106XTmOfJRCYxSXEkwUHHAZLuoB0
KVAdfVil1kinxKyplofJmQUNdhK5foPNRzTMy75mPXQkyb45YmJmVmCWEfbKTVxXgkzdjBiLwPwE
pIDg2wSpt1OC3NuyzI97K7amWSLNFXxOsPa842pBNFu9pG58xM5dWaopQ6rxv+Sw98AwxiedwlUb
KceBWx+5cXZj5MotpGnhG2bdVGp/kpEGTbsA1EIoYc3qGN5X6hLpVJHiwzFYl3p5guj1Iu9UdKUD
+8I3cu5oyfzS5O3J2ONKkwbfY91AggO5oEobjgFrN6uhHBCx7c2TRLFBsCYchBLdFiNAgdzQV1Gm
HnfyeNSUmjb1DLqe5mjehF2SnGvU4WcoiEvIdQA5xAoOnpxIKzs0BiZIFw3TvLJ0gOHlqsKId1bK
4XerI4ax++bcyuHWOSWWip5TVcdJUaL+qnW0Hi2M+eBcRDEaQw76vsScbs3mMmJ71K/NWlqDdEmW
pp8dOkRbaGXmGq5dIzY/wf917l/yMpQqfp2XfUWLoNmmSSBsPv7MxmyyJ1UFYCErqB79bE/yVMcU
chUGgrH07JEDeK1j6gcOmRiddN15asz/BaLStAMuc5UUTpMt5YmV9w/qmKJK+UbjTDiJQmnDGV2h
k6e/UyToZcQ+yzKliikKdmx52Jug1pPnBfLLwrvypIvx7o0g/uk62hyyqsr6u3KpAmOuMEM9JzI0
nC+RX2Dql+BBOa5soA6ABOq00Q9RexmvoLECijcV/Sa0yd3yLLTXmEc6R4olsDpWafTn6EpfakNG
lmQOHr6GbRRW2reWApsNRahoW0g/dFhbHZ89M5Lisy6MK2Ue5HmmzhEEbyBuSYg6YSvpIgIdDc5c
YBXkWZXeG7He4Syex2d6A3R0quR0jhaZ22u4OjWoCaCQNrGCLtPO5FYxouM2Ds/KGomiJEcE0XfO
NUV+NKr8IeVSAhZ0bSEfg23y0pDMjHuDb4ELKf0Xd+EkwLuTQ3cYipkWJYHo0Mziofjh4zqIpPqp
ouY/Gq29wuqLGxdJgzsrAvHkoBFwIll5CRPeMNdx4NBNTGDXjWpFuCppP/Swgqvl+uj11kUuXKtR
Xo0lAziWfUKT8rRKERAYVbsl5BvVZZ1aXwZFuo1VwBhZ6NMWr2tPteiaI9fqIcMzB/WBz6ouhoCl
rERm+aXUa+R9TTv1L7FchjNhKeXc6WXUGEFGMItI40yqCFlzXSoB5sMSLJCEXPuSopz+tPfOn9fS
H2mTnGfYT1T//pcqVGTeLTFBCEKzjw6A6Bq8be4UQ1l4Xm+Xp1xAG/gBytV4ZU1oJtLSSVdgXWFA
z4H0zcs5N/haX2hzePTT6D+s9ScHub8+B8xXDelUiiVUPmhCcJ+9/RxGX3aNV/nZKaH9GqPRfhp5
hUteQzRiW5EzL1oXGL9qUmh0bfnEs0p3rfCMzKiAQ2INpw6aoRNbHb/VfeYsKhVRjLrOF649frMM
16A6gtC/O/Y3RQxqXy0LbKcqBCL6zgW+7INpx7d7Dp1o2SngbNyRINJ24b86q1ED86uqSx3joklR
41EbOGA0knSFOcAsA6Y7yeR83nXesQrRkAwBlifeYpMkCdHtwLWu6x1tWXiiC655X7wuWwEIPiG1
ksk486UcsdAsp4CRIIdXv3/E4JR+esJPnGJSOQhXukP9SHPeHSLOCJQwT9zyVG6TcMlBgIhKyd2O
IfEcp3esVQtv8/u3fEIsvXma4Jl+fs93T1PqQWm2kVedFp52h3bptAdTAQjHWulJc5IVLqB/k2qK
VRRTI0Z4HsOO4Xgs8eKDNXqcBfatHICehNr5gxoq4VxxombmheyO94ZXfEu6oJgVyGn/f6AxKkqF
v75u/0Qv34Hu39I85C+/XroIAbH3UBRVkPB0dFFe/bMEil0YFxDEQYvHyn/+denaB+CWdYiBNIdR
eXgLk9MUDc4h5UqYfjQR/0kJFD78m4Us+tBQ16m3gp62VIiMfIifS6B1CUo3VsP+DJAxkAo87yy3
vK5VRJBDlZbUiJ3uddAqMV2EJLmqhG2eJCtARUZXmSrIIniOcNcrdO0UcWV5Tr8CrooVIqABFLYW
tnx+0X53mg5LvQHYAX4y/blD2j0Fy2VNncbNrnU8/kqZun+N61+LNvdZ4hVkHx2WgCBJ0mVjqNrc
azEMrBTlS4Iy2SoGLoJbMcbGRnOIUC82gNgN9jrCjSbHxFkszAgJdb4BisbtBZ/CVBgWFpTiTnxh
Ykhmh7qNUAtWmIKzQLFdnPJqZwVuRMAdVLClCTWwLrecWexpGCSk6AvDYLvNECknnQyhBTTJcVOA
8XVAyBHf4ArYoNSOk4jh52u50eeR5clz1WvXUSmhIWh/ZTZPsozqoVxzJVFXxXA78r8ZrQ7WCKng
rMtuvCK6EZSJee573cT1gqtaB2IDeAQjnBQFFdPDTXLkNpfM5FHzMKjoU3NtlqRINUY8ZBthuKgl
A4tzt0NA1RjveNDh1DHzq0xyT3VA0Ta1IU2Ypuu59uAO1TlkufYYihWE/Rr/y6KzT6F9IFfgjqdG
xiOt835WDN15lGjfVa28GbvoXnJzTmof6+G4PzM7zOIs6lUIMwHQJbM8NAA/TGNcK2ELOmfwZeup
mgjUCKC2PgHtZmmYsyn+Xe6NF7quw07E+VrqRwmFg8jBcBFlEBMbePuM5DjUvgtQxXBo0RSdWzC4
kXoaE6p2JQbSBn5OWPs+SsDYgsaGwi8NIHK4B1wnNE7ohq9btKkmloHxhpoox/iGh2DGSatdWeFW
NuxgORjR3C4UG2X4kQTQMNppa5eI03gRykaU3ND7H+YBhLJ5FjoLGuQ0MqORSSaEO5SGChFwAyxY
xwafyqxUzcsv4zRFfSrQD3vbobKIjO116rvVxNX1lZKl0HKNkFjOMfF7c/Ft0eUU9Wn3ccAyLcD4
7TAyjOuydtH0T+upFWlTy3JOqQLGJNUGoLGukVGAMQ8lu9TPqLVkQM/KeoqdJWKspX7VRlk2dWvj
WA66fOogITCVJWNdgtBfK0N2VOixclhk1MC82oGSeVsp7pnUeQuA3v2CNjlU4jIAlJOUy2qI8gn+
fjO7iL/7sbGws5ytzjbJc6tnYpNvuV+te6vLDyPJsmdAbpQzH4go/WGICNTVvDX1P6RNbfe0LbCN
CR0TXKEzTmKsaWmRAvN0oegOSoW4EKIK62IYbbCAqruihkSOWmX6cvBcZyZLRXWYF+mR5wMPG7xG
W8NlHdEnVaSlnhVoDRf5hSk55WKMhrUke7cYhmnnakiqz+kHkzXA0c5HgEkCEOD1njs3w/yusELv
R5Wi1uSzjS+sMHwcw5HKAxD2unwO1f4X6L+8fMTZpt7MnwTtLprHcrh8rOgBV6/5nPjpU7R7nf3P
fun3A71I6V0P+eO//7V5QIFkFlR1GdzXP1+uBiCbd7fy02d6+sC/GyLeINTXPDC2hiSMoWNirjjy
04vIHLN47+XHhPrOAf1KUlDu66fX0xv+NEe/moXff8Hn6fz97/z6G3Ank9+/0RoUhilv4pO/MxOM
89NU2AK/Twpsk728mQNas3RlqRMgeC5ez2+1b3MgZDZ3ngMLwxsd1QYi+KcXYf7bqUCrkQa1JQhd
TPe+zQGRJWCwndcBsZ8BGlHMKC8wbG/mgC1BFomEksVC2c9JIKjeeRIAKqjUuQDsiZfYKj+fCwKu
YEMmhN63p5Og89x2nATQFZhCsRbwOtg6CQqESpRLNZKOPV0Jz/v0uRr456X1Hy6It8ciiE6Fx0zS
tX07iISOK0RR1P08F0WlZ+eV4CBRy2LnUPjFShDUWpukUVRP9/NMeJ/A/08uSCp4DqxitPvF6/3B
qKp4rOmw35S93Q7Ph9UO2wEVI0sUMVUxE+L14YbUWSq6xg25r1ek0Dbe+WDEywUjHvklTNiyEgCq
AecWa2Q/twPPbcdJsA8s5KepszwvBBF9vb8i2Sh4Dhrm06Gxr8ejunvIZAmdbsoWQBpfv+qbqSBk
ckyEIFULaL547euqeF6uO5wPGjQHUJwGla3nb/p+VYjoEesi1Dv39aZQdk+l1AMKpzR7qNU+vYhH
364H4wAheCaJfEu89nVryLsflYRPlLQVR+XqeTMH4raERkN4ubcXxc4HA8J+kHoUnab4+2+PHyuy
/agavdyje3oiCKPYHe8JMN+6wlp3fpVKEUCDM7IxOtjTSVB2zyKwa5BVdoL1kkV8OBZtdoNjmkAK
9nQSPhAB/nkALXhzAlmv/6LYRlKN5ZyCrua+roQPLMJ/PgnmgYa9MYHCLyaBCxKqr839uK+ToOx8
JnAuciQg+/ESLwkiyNvLgfKKUAUhhN7T7aA8P51dQiXjQLOeCgvPQYCIAt5MAitBJJyYu+ztJOxe
WWA7UGRTAXX8Ml40+RnVlb2dhN1TKf0A3W4kKF8n4X0+qdgHosyGSM7zHbqv8eJLTL/LpmDNEzaT
J/2q5qgeQJVWkDd+PoX2rwT/Uv3ZZRJM0kVkiMgon9KDDycDFyU0NXLOl1rG/k3CSzF0l0kQcSNn
gmW9JFHvj0cVuCmIKzy/9/VkeCmB7TIJ1gHYHseEbPR8PL4/GVgJSF05HAz6XmeSAvK4Wx4hcimu
CqpuMD3Fi6f+5rokoXQo0wPj3dfj8SWs3WE9UH4leBbKDi+T8CGvlA8MoKZ41u9r9CjAsbutBETj
cFwhsX7ZEx9WggihVRsBzpf6xR4ej7t3I8wD03qG2j/fER9CaAVCtUlSvbe9alEU2X0lQBPQiQ5/
MQn060kjZCqze5pHvMT2O5wJGqvdhAOPTeQvJoE2rUJnDmjyvk7C7nVnjZIrvQbkgJ9vh/cXJaI9
WGzIAKb39nbYvdiKmiaYcKbhpbaw5UygAkVVWn2epOd33L/jUTia7Hgy0HHRTIvu1Esf4kO0IBMt
CJ0mbV/7EEJXasdJ0Ci4yUivvhQYPuQRbAoYIbg+W3u7EnYvvdpIcoFo0oHrPL0+rAQRU4l/qMWI
176eD8I3esf1QBXagH1Eavnn/n8bQjMVMgh8ZW9RTdru0SOdF6AqECleKgzvD0k2BUVqfJ32dk/s
HjzSoERvzqBJ+S6J4svjs24zOy9LZE8jBm332NGiNycjBk2i8Px6NxXkk7oqQ0DV9nYhPBc+dokd
acmwDnRM438ZO6oO1VnHeQ4u9/VwFIyoHQ9HITOFMTtg719MxdOmMXXKbvu6KXYPow3yJRXRHW7L
pxfP++0NQWOGaAK0475uig8+f/+4RUelCWwzpyDE+KcXMcjbSUDqHgFQ7P32NaF6ObJ2OxlY6HCG
Xi+CD2ETqbWKKK2j7+2ZsHsWoYsrQOD4fo1mwrVRE9oBr3cIp9D+JVQvz2i39SAaULRlflWJVg5E
15oyw74mVB+sp//xyQC6DeAn2rqv5df34RMxAwQazs69LbXouwfQQLpMGaAGNqZPr/cBND0Jfsi2
EYKKvPb2fNg5jhZoaE1IlLzyhbgU398UWICbWE49J297eDLsHkiLcjw1JyH78vq8308C8i0shr3N
KoW4zI7RI91KtHRgDL3cFB9OBsrxYpr2twhr7HxdEjiBaDXBMvziuuR4hEpDdUHgn3jt68kgVJJ2
XA/QIDgCNflXZJEnmBeVWFN+Dtr372T4IHnxz69LBKYsEI/0X96fixycFnAWMLB/P5f6G1P0J0F5
6gfxwxM1GYPdbQzmX/3CKyf3489/4tw+MY/f/KagKj+/+TMzV/z/f71hLqtPYeFPP30NE5/e6eXv
v3zFj2/+5s1ev9frH66Cx3JT3vvD0w+Glw96uklgOP93zL8eNu8Zw6JL8vpnW2jWP1ddfz96HmwT
fRY01L++6jsO998ePNk8ZOXrQIcP//4XXT7cEMWxsfPgE0y6Hl/H+WlsPtzOY0838ablkVSvY/00
PnHA7uOjtV19eKRMDMfWJwye1uXmj2lW1dvegp2881vMHuM/TrNy6/wTjuw8/jz+Y5aVLJ7XsX6a
f9LYncdflI9Vum1wjvKdB1/Gj2n6Os5PH/wztuuqSb5n8UP9cXjlMzbsYZI/lsEm3jL8Z2zZw3TY
MukCnL/zpB89llvmXGBodh86SL0tB4HyGXv1eBNtOcMECnPnj328qarHbXPyGRv0OKv++O/Ue4wf
t83MZ2zRk80DB/DrPPy1jQQ4c+e5OdmUwbap+YwtKsZGUnnLRxc8xd0/+mP6kN0H204vAdn8hPHL
+8eH14H+mncBhdx98IzP/jrOT2N/xjY9weJ0y9CfsUsZun4sH4ctw3/GTj3d5NtWy2fs09PHdvMx
dsSl/jO26Fm54QjYMimfsUXP483945bYUbQtdl6H56hAbwvuBGxl58EvA0LHKnjYMjMCEbLz+Feb
+5KUIK23LHftM3bp1Sb9Y/KI8dG2N/iMrfr8BmW6KR+2HmQCI/AJ05T+MQsevW1f4jN2rfgSC3bA
fVDdb3uPz9i+4j3W2aZott1W2mfsYfEOx01Q/XH2Pajybd/jMzazeJeTTf24bfzP2M+MX2/+mGzK
75ttMYP+Gdv6+T2muAtuOaxFe+YzVizfYlo24+tgf12RovWx+xv4m605oei47j44NYytU/Mpmzmo
omDImtfP+dPEfMpezuLNtuhB1Lt3n5jfea8/qcDtUL+5qjeIUMabpnr9pD9NzadsXVFm2XIPi4r7
zlNz/ehvttnSi0r27oMT4yOx9zrSX/MiqCy7j/47n9Fdn+p181sztl2H/725wK6j/0ZCeeehm+9b
Dl8hcfAfnue2suyfbf6PxdpXdcdtf+1tLVr8xn38uCn/6/8BAAD//w==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48E1B514-04A9-411B-A4B8-616F91CC1A26}">
          <cx:tx>
            <cx:txData>
              <cx:f>_xlchart.v5.2</cx:f>
              <cx:v>Suma z Amount</cx:v>
            </cx:txData>
          </cx:tx>
          <cx:dataId val="0"/>
          <cx:layoutPr>
            <cx:geography cultureLanguage="pl-PL" cultureRegion="PL" attribution="Obsługiwane przez usługę Bing">
              <cx:geoCache provider="{E9337A44-BEBE-4D9F-B70C-5C5E7DAFC167}">
                <cx:binary>7F3pc9s4sv9XUvn86CEAkiC2drZqQOryfSWZzBeWYiskeJMAz7/+NS3JlmU7sZ2oXq3qOTszG5MN
NvFjN/pC49837b9u4sW8/NAmcSr/ddP++TFQKv/XH3/Im2CRzOVBIm7KTGbf1cFNlvyRff8ubhZ/
3JbzRqT+H1hHxh83wbxUi/bjf/4No/mL7Di7mSuRpRfVouwuF7KKlfzBtWcvfZjfJiJ1hVSluFHo
z4/OPBbfszIV84+Pr+E/P57Mbxfl/IOTVanqPn5YpEqo7rrLF39+fDQM/vjhj+2nPeHsQwzMq+oW
iIl1wCxMTExN/e4HffwQZ6m/uqwhrB/oFjFsA7H1Y0/nCVBOy/k3qZrsw5K19cVnebrjaH57Wy6k
hFe7++8zIzx6E5iPv57Ow5On3gwzMmDgAxx/frxS87T78E+4uE2zmz5LFx8/CJndTVvZOdnwyp+u
7uboj8dI/uffW7+AWdv6zQbY21P8s0uP8fwJ1n/FuUgXO8DaPrAYMS1kGuzux97CGrEDCj+mSY01
nFtYL1lbX3wP1usR3oL1mmYvsQZhut2FYNMDWzdsbFtkCTbdAhvjA0yxQS1QGUt18gTrO9bWV98H
9mqIt6G9ItpHuJP5bVbuRLQJQKljGyR3W39TijEjOlvr9+fRvuPsl8BejfAmrFc0ewi1k8G6NAi2
VLsQb/tARzZjhNDndTmIN4Jl26QItPyziG8yuL7lPUL+eJy3oP+Ycg+/AV4ptYuFnB2YCBNDf2kh
x+jANA0LIQzm3LPg33G2vvYe1FcDvAXuFcke4uwu4g+nGXgIv1+zG+iAmgao8EHah58n67hxgHWD
wDr+0kJ+z92v4L0xyFsw3yDbQ9xnaZf9fsjBJ7N1bGKdrux08LwerenIPkCMWZZtv6TbB8Z+Be0l
/VuAXlLsIcbglc9r8L3lDoAecLQwwpQunW+Q4EdAg/Nt2ToDVW+t0dwy0u+5W19/jy7fGOQtkG+Q
7SHuX6tvu7Db2AEykGki9hLksHTb1LINi6wh3YJ8YGx96T1oL+nfAvSSYg8xPpmXIt2BXNMDRg0T
Qmor33s70ALGuUmQbVH2kgK/4+xXUF4N8BaYVyR7iLOTxZXcjTTjQT1DSO0FBY4PdN0mFjPMNZhL
aV5ytP7dG8R4TfgKYNe37iGglwKWZClud2BwE3LAbN0kxFpCqm9HxBE9ILBgY0S3IuL3TL0D1g3a
VyC7cfcegjuKP7hZCYGyHWhm+4BiZpl4pZjZtmkNFhcEVBAETpbwv+Q/3/P4Dqzvcxgbg7wC9OfI
9hD9q/lNCQHgVO0GfpNCDsQAo/p5ZxodGGz4A8GV4WcL/gfe3gH7JvEr4N68fQ9hPlmkt9mNSHeB
8mBjD5ESipYqfFuDYwIhE2oRMgRTng2P3XO3vv6GFfpeTjcGeQXez5HtIe5jyAHvBHTrgBJkgWcF
oZG7ny1fekhu2ib8QVum2JKjdwC9JnwFuOtb9xDQSbxId+FDQYwb6+AnYwh9PA6KQGaD2YhC0cIa
tC0P+Y6l9bX3SO5qgFcAey+1K5L/EoB/zuajdx8KFv76wYS+teiEHmBIT1gMLXOST01sdmAhiimE
StayvKmmjzYKZZa/fwbkZa3Ok6KTTdpH77h8xZ9PzH9dOcnVPIUMJJ+X3+Y7qSAyDgysD7GMlxWv
xWxiIHCDV4p5E8xH7P3gG8MvALpF/wymj34FtVRbFPsJ+Qe+KNN5ebsbC8s4QBDWQDYhSwsLYpWP
dDT4yJgZOtt2kWHqNxh7H9qPBniE7fMlY9vP3EO8p1XyLYtv1e93mA3wh20LGcbTZRi+AQsRHUqM
nhPr+4Vxzds7wH5mjFfg/QzVHkI+S/JFKebx74ecYAiBYNs0yMp9eiLc5oEJhraJoOBo+Nlyku/n
f83iryD/MMZbkH+g2kPkr8Si3MlCDha3pROQ52XsQ9/GHWJjcBGWensZ7X4J9yWDv4L6eoS3YL6m
2UfE7yw4p6z6HUg7FIBTAxk6Wllnz+SqoKzQ1nW2lYNemlEDV++AepP4FShv3r6fAH84zOZFtats
JOQiDQxm+t3PE7lGYKxhA0JmP5FrMN5WXL4D8ftlYbDH7od5BfbPE+7hV3CcyQ9/pf4iXuyi1sQ4
0E2MiW2YS3NtW86hqAgbBKqI0bIyYUu7bzD3DvAfUb8C80f37yHUR+Cc7UCXm5CZvCsLXeUuAcPH
bhm7qxpGBL8U+B4Yewe+9zK6pH8FwlsUe4jxas2KdxN1gSQ0yCqU9a+8r21xhhJgKA9EhrldeXA/
8Rv8/Qrij4Z5C/CPCPcQ/xPYALAoF90O5Nw6sKhFKdFXRWTPrOiWaUEJ2Yube9bM/QryD2O8BfYH
qn3EHArK8mwnpUb0ADZhwjZNe2XFPaPbmWVQG9NVbnsN7TI5MhR3DZytf/tMxPylCOsD6Stwfrh5
D+E9gg3Bu7DNrANYkWEz3to2265KgdylBddgO8eL6/bA2TuwvV8N7l5ta7/t8/HUbZI9xPk8nt8s
drNNz4aYOJQXrRJfzyhuqPqHwBteGulbFWb3U79k8FfwXo/wCpF+8tQ9RPx4Hu2ilhDsbUATNPIq
T/KkwB8fMGQiCyq+12Bu5bIHxtaX3qCz7zFb0r8F5SXFXmIs5WIHbhfkSKCkH2R6tTI/Fzi14LIB
SdI1lE9QHlhbX3wfzssR3ob0kmYPsb6Gwn7okPH7be8hIQaLNQTUVvFSgPSRjw21/ZD5NCHbvRVB
uRfJFW+/gvb9EG+B+55oD/G+yuL5TsrKICpmwno9OFt3P9tmN8CtGwwyIi9u0Vqy9itor0d4C9hr
mj3E+mRR3ixuf79oE4ip6BazIMH1fIgUEmCGDTu3EH22OnjJ1zuAXhO+At/1rXsIK8SDPhxXQn44
+yZkvou6YPMA29hCsBC/IMuw3RIip7Bt/iW7e4vHd2B9vwo8GeoV6L9MvIffw0kGBeK/X8phQ73B
dAbe9GoBf1Jfqh9AsgxaKyDwzjYr1e5n/46z9bX3GGurAd6C+IpkD3H+msW7EHZodkVhAz2YYtsG
GnRUoJDmguqlNYZb1vjA0frSe+Bd0r8F3SXFHoJ7XcHWy2Qn3cxgk60NRYaQt35Rm0MxC0I2fkmO
18z9CtYPY7wF7weqPcQcIvy7EWgMnenujbMnjVAgSIqhUAU21r+0eg+M/QrWS/q34Lyk2EOMT+f5
/PevzQS8LQZxcAh0L2X6SXwUmtZBIEWHLMgayKXuHvhZ/+YNKntJ9gpElzfuI5CLer6T/oMgjRam
NtFXW+OfQImgFgH2xRvbdWX3ZtbpHWvvQPXJCK8A+AnNHmJ9Vs6hvGgHYkugYhiCJLb1UmNRaEZp
QgdCa7tWeMnROyBeE74C2fWtewjoOdhWO2lMxA4YsShsk1/t6XkS5NQhyGmDE0W2NlPei9GStXcg
+2SEV0D8hGYPsR7iBXwBQe1d2FbQccyEOCc0gr7POz4OaoPTrGMdNoK8lKd6YO9XMN8c5S24b9Lt
KfauWPi7gB52eyDIZsCOjy0/GfZwIYvYsMlr9VGsgV1aXMOU3/G0/vUbzK4N2legvHH3nmI7hoX5
RsibH3snb+zsTmHnlq5TqAJ8QabxsHETmTbZ8peG+X4dR8/3dd+ifyXCG0/cU5RP5mqxCwm+qwyj
UAu6ktMnizU4TRhKQZnxUsBrQOyOu3fI8v3auzHIKyB/jmwfcQ/mO+n/DGlo6NIP6pm81EcQH4Du
1m1IeKxB3YpyXt2xtr74Bu39AN1qhDfBvaLZR6yFjESXVb/fwRqaABPQ1HjdzB809mP7DB9YcLKD
CUd1rAHdRnvF3Pryu/C+H+NNiN9T7SPmQ4fvXVQKQg8jgjH0hl15YNvWGdT3W0Nlwsvhk6s71n4J
79UIb0J7RbOPWEP4ONlN1NMgzILA50vl/Hc2umVAAfgazm3pvmNtffFdsr0a4U1Yr2j2EWs4R0jI
eF7totybQjW3Dv2LrJeqQiE0qg+b8ShI/bMZ6OGYoyV76xvehfnGKG/CfYNuD7G/rmDP1i7CpFDm
T3Q4UWt1FMtzbY8wG3ZtmS+t4kvWfgXz9QhvwXtNs49YL4L5LnQ62OfQHsOCLbcvdEWCukFo6w7x
tOF7gJ+XXLPrOwZ/CfHVCG9CfEWzh4h/BoVa7aR/BhzEAd0xiP7SkTxDgprB3g5L31LrK5beAfI9
5SvAvb/3/wrUl4/Tuz+h0J2r+ejubMONE/V+fHV9FN8W6WrdfHZZXF2b3f75EfLMBNq0g498f2zi
MNCjVXcrnrVckB8TL8DL//MjnJY45KcRhQ4q0GcW0eHMxGaxukSgZxa1KQOn3YJTmeAbSOHImADO
YIRKFkh7Q7usByqZVatL0K4W0t06IlCwBk067o+gPM/izs/S+8lZ/f1DWiXnmUiV/PMjWIv58q6B
WxNGt6lhwM5QqF0nuqHDW+c388th6xjMxP+YMfQqD72yP+vVl8L2eNUrvjExzzxhGOHhCUNfGKiM
taG3qgEdJeARAwcbT+hzz8rbnKAz2Wq81MdmLLg0b+t6+uPnPH6Tp8+BLNTmczIN5UUpTHRm5rWD
yuOG3v74AXgY4UdvAkG1zSf4qEhxFcCb4Jby2vhE2fdM6xymnbGqHhGsO7L+mlfTSpyrzONILMJg
7PvnOLtQ6ZXf5FwVR5bpj2wv5b5xUYVXTRK4LUt+MhUIKh9+yCl8WJucEqF5qimHuSAjr094kX+p
auFkyDhrPME9L+Ki+041zAv4v7YlnB9P1WCUPmEAyqzuOmYbkETSHzOQ2j5StU67s64OBXIQK+Pj
yMBEOV1uFLnDQj2tZqFtH5at5GbVXKK4sXiTZr5T61rvlGYRcJxXej1Wvn7YMFDgkzj5GyfksPF0
STjWQvSpJUk4IRELbe7ZiqdhOCqtcpZXHcd1MUaqc2vVTYL+rLbEKPENnhUar6x+UrbsPMHnXh+O
vepv6cXcl9fSt0+IinkZWW6dAgNNNiOm6dA+5l2Yu5F5neVF4VrE531RwiQip0LVMdWTUZNPu+Jv
GSa80wgvmvQIKeMiDE/CNpnUKc4+JWbMc9KTUcaulWG5RmjysG59bgrfcA1R2K5uJ8Yoi+KvSst5
kvQlZ6Yn3cg3jn+MEBkQePiYnwj+0BJg8xNpBJOhamV/pk/I1Jv1x+oLmdiz8kxydKymhVOObJc5
3Zg4h+VhMs7c9qs2i8Zqok+sEzEOT37M0CA8D/w8FV8wdzf5MeK4osnwyWbRLIt42ril5MW40H+i
jp77MjfV0ZbCs0XSx0EAz9FSHl+3t4XviMoxsGt5PxEC9HiKl6+0KQRgz22+EoP3LwkT+CwgTnge
tW7VOqXPGzkKmeOfNT97tec0IESIwNqA9I5tsi1IEytpKY0JPmtCydP+W62d/xij5xTg5gO25k5P
BU1rH+MzWbuVGfFGc2Qb/QSgnz1kS8uylll9Z8NDWH3UF4fKusbWPz9+j+eWpM332FKPHazVZZmY
+AyqC502brhuXbLwlAXt8l1WVsv58vtdLrc3Wd6Vwg9Whz7f//U/11kC/7s7OPjhl4//CiOshhwM
jUd/eWL5vGDbLA+cfuHiy4bP2r68MwYgV7Qxj09sns02uQ8Gj3lHtTZ2EHSAHPoJ6XD0nAmdtTeN
HWgKOxR+QZzDhja/Q+JpZewYsF8KDCQ41mro7Qun2gEea2NnOBUHBoS0pQ15DZuhtxg7aJC4ByUD
So+BbwVbay3YukWg+9WWhKiegPquqvY0bQgb1Y0X5DwjIY2ciDb1haWZ3WHY1mk00vVIfVWZUX+K
DNkWXLK0+LIxe6tvY9P0Gjbqb3MDBh7s8gc7D47lHWrPN/WDkXZ5xIKqPsVFik79qE/B/qKZFTht
rTLG68aovtI61wQvE1sVThGWkc+9XlLDgaLX9JYppZ/BGEHl4jhGn3pTs9Gks0xvgToNteMfc4wf
a5i7+TOgzQhsa2UmhTafW8u6IWgA2HbqlLSm77tW28efatgKR8aKdpnJ665FoSuoZ/OeWp3gXaST
SVKXHXLLOlO3QSslcoSWm66Ew9RrrpJArzktzcgf+VkYnEcVO0wkC6QLkVH2WQbFURQ3ZjsSUoN1
pwzqZPLjt3oKA2yv16G/JZyXCNUNdy+9YaDSTvMbLY/laao89jnzbYS5EWH4NPK0as+btmRXuYfi
v3/82Md6ztRhyxiY/JQMRvHwr4GtjceaeusbufTT09Tu0SmKguo0laUjbC/4/OMnPV7ylk9iUKpD
YbcxbFWzt76zPDU6MFaC7NTOdWNeNFkZTzxld5hHeTDSiyruHaJ3duaExGySn300j5fB4fHwocDZ
hQYcWQfdYbcfD9soReCniTilRWTOk7Ay51E88GD2iRxZZZbxTgfoJ01cNGCRRhldqJjJWcM647i1
SKk7pAmzyAlpmnwiZY6JG9hdt8i1OnfBWkyoY7LMKKcmsfrqJ+vRcBbAIzEdUBrUBvSqhrOxYf/I
Y6B0qzJT0/S0E1R5yVyUSvocaZFKDU66LvUPm0BE33yb5cdtXwRjKzNa4WBU0++K9n3mdIFPHSML
64UoCb2tzTyghz+G2DCfgEwMWPrhJJPhqBqQzi37ySptoZeBIich2Nces13Fgn7Sqpawsaqryinb
Qr+ok86seBAE1ClROpG4zCexkWMniovkMo/NpOU0bvwvTZhks04qxXOzyD9ZMrJdr0g9p8rCUHCh
SNhwL5TpaZNr8qzQwKz1fcRCrvVemji4DpKpaan4Eof+ud+lpOVg4RWnyiuuFU404lo1hokUHQbd
YFR9z/XGDo/jwLS/enplHAaWjY57v62Z0+iBkTig6cVMs8su4U1n9y5qTM3tw/Yml4W6qnSNBrxJ
FB17sqhmhofxdRGgJpp4VEOC90HkfQMnuKy5SAvtnyqhiZvnEs+iLM1nqGDxrahzC+SeJNGVYN7g
5hWGf1h6ZeV0MA8TBE7uWdEk7choSvAvUIvqUQwnLoPb0vh24dQ48EaJJKVb5ews8DRfdxHK1BSW
Gtw4qR5a3FY0/rtN9OAIlyy/MokyJxULNTyWVtLPbSsrR1Jvw35cR7Y/1tpWn2MZN9+ln+em02Ol
Vzz1ce2PWxVmIBxNM+r8urLHZeYFbqxIMk3hVg7dgcoMJjqpKQ9lGGoO9RrKaWa2PTdU7DlEaWky
Ka1o5BtVp180BBmukKUe8xC+JDUmqmFy0hLaHltR38feRdUUKgEvR8RdWt4GXoBx/1U2WkuTgLMS
VHl2g7skVKSE43+rKtdPVaSSqD1kougnNauUN0tKIXIe4ji70qlGZmFHSOVUgIHHu0JnLcCV2Lab
eh6shyqOmmJkRY2vO2WskHcWFLpFs2nU0SZwuzZm6tiSisAX1XgZko1TwVo4trQg9M5qEB3Ldwo7
t+GDI5FMxmksSsbjAhYvb9TWwnI0D5rZm7zz9NSAA7y9JHECVjXeuIlpnIykB1bB2Ez9pHfs3gSN
meLIqJwkKLWY17Lz5bkUWpKMMl/Y37WqpkJ39QyriTDsyj41Nc/3DlNCFTVDJ21l0XdTCcn7Mhjl
fkCTkSfrvhizUqZi3MVW0k11KZPcMXEXC4e2ZhdPSlEIzQFY8RctT3rkwpllUeLCP7p2Foe6JmHK
0/RLmCQsmZGSqXgUBcq67CtFyDjUMoyOgiaQNOU0wIGaeGWdp1ewGJPD0O9xNK5y4GCUqdjvRzZq
e+bYYZc3J4ndwaetgaiUrodQdViCZxy7vkf8ygW/AOAUVIJ9kvYh6RdxBPlN1wYGEpd0SVDMkC6M
qS9oZDk4igriikx4bl95kcm1pszZeeg1oeEQUYQ9T/Kw1450LzbGKPd8E9hlNB+hLuizWSBQ448i
ZgQNH+7jiAmWwufjk8JpG6H1XLVC+6eEM3E7jQuQI3yK+lT0gtu1oZHrLm5wdWrlrMvclBXqxKxS
WJJ8SSMgYAmB2fJEgNKvPYrT4LDokrgdy8bsBfj1vro2QmzOzdZLPG4j+HjHVdpSMpJWL4D5CoWJ
G5Miko7deCOBRPE1bhqwLEI/rK+kaTXf8jIg05o2vjeyI1PHPLU9GMeMs7Adp2WNTnuImxkXUpno
GikN7mgsTdqOQh1tRzVOQjEtW4ybWUp9ic+ERtnnVC+GjzMMCzmhsQzkedsZynb0ogFsgiYFxjIJ
SvcIVjD2mdg6fN0JaMnShX3ubTZTknn4PCyrKLrEdsqMWWuETXWiWjUYn0HXnpuRZrWjrEng0VnW
9zVvcaL6iR7R4eUH1hvQT8BXnqBTw0zhLarChKkKoizqHRbVIDp57EfiIi0piHxZgVXgwzXQqVil
wVmBjK5MOckDHeBuyrY6SbQgl1zoVdGOW2iDR0ZdXeBBaYAwOfBGoEBahgY7WaXJZw8OfDu0ayFs
bgdmBN9F51vzJiXARluG3SVRrS6PfDBzw6MsT6PwyobVYiJTHZ0WzC++QvmzVfDACAQ+zGyfVUde
kPm125W0aMDA7cgkxzCtjk6L7iaKI/O8raSeTQu9q6MvjZX4cpp4WvK969mgQ0QRBy74ATYZCdwF
cpxbCfui6V4yTprcLzg1QM11ZRNcikzJI5ZEoemauMQ+qD04EpzXAWafy1Cr/VGMUxCTXvMImxlp
hopFAgq5O4RYNMhGM2jsUWhqMKNt3UN4UplNcYTKCluOx2JVw0pLah1M7yL8p2Q1u9Y6MNMPe6ZK
dKtk2kmeIETrmWgwDNUmKOgdo/Etf5YDLI2jRcwa91ldq5O2o/FVWMuC21ROjaStzWnfWABOpCPZ
T/I4yrKT1GqNY03pRjYKijSpj/yuyQPHNmUSXIMlIm91loIaAdUpax4FspGcNbVdwCrQFVexXyDx
N8p6Yte8Bwus+5QrojEYTHrlKKBa5B9qXt58C3xdq52YSiuaCaaji1ZqHoT8qkKKkegr+EgFViE5
b6O4N08TK49jiJHWunVioMBonQ6sGzlqghxQa+xU+LzsaQK6Q8p4hFrSlm4dY7uc9HYBX39ktD51
O6/TpePl0iq+NGaHrsOghG8NVjr2Gb71RJ6nLEWgYHHOwrGdBFbD2+ortqvGRjyKavrJxGnRuI3p
K+PE8GK7viw8yUpY3OGLHuWCAJrgOHTtsSAqyo5pmQfkHLd6bM28NmPwXm2r+SdRqeWNm0gPdAZY
Y5U6iWMP+C9Z5I9lYEeB27S6PusKA+S+sywquOEFdBnT+w3hj5v2Xw/BkBNxU2Yy+64eR0XughkP
d00W2VDhIrdvGri5v+v/LpKCN0MpQwpp2Pe0YcQ/Cafcl0z+FcNr3c6fp18HVqC2yxi6kNiwttsG
oeCk3GeRoKyTQoxEJ5BiIGhIW2xkkaATDRxNagzt3KE47CGwAhXCcJwDeDbQIBION8SrTo/+IluF
Ln6URQK533KSTDgiEzb3gXIB2wN6m235mHbrF6yyg+osFCo/tGNmnJRpe2SnceGYVfnZShK3CFU0
TTMa94sgk4V2UXUdGHu9cMDOiC9YkKdcRd2F8o3DTCbZuIil4KjvIEAQIW0i4trgRg45lagOZmCF
6o6fewYHPeEHDquLdJzQPK6uOj//yoIu4xpsaOIUTIHQybE0DutW6w/NPG0Dz+nsThxWceR22NOm
Siu/+yztITahe5MOZeAloYjN4sqvP+dQoXGEhRWd2CQFJ0Bc5RUJ8pGddPo4R7Zw61LTXVqz1M0g
wO/GscAcWwz0BmJHES3VqPCRYyqsxmabn9pmUPOaZGxcx33LIVsDtkWQNtOykadISuaotPhaNv5x
h5pRoHculvhEN/yjplcBV2FecQE6kUMGxWkqWY1SQJj7nqZG8DD/u9dk1j9dH9beuBgyKeAcgd0a
SDRlZXUZROTKvsvA5FagqQuB0mIK7o2TFoE1LcxOpleW0lnJg8qjNSfUMyYENXXITc/8HnlVMxuq
XidVGkVun6TnXShPLSM/TOPgtNDxka20cSabQy2x3KwHnVOkXA97xxT5bZPiS6HY1zvh+d265r9N
i5hQ9fUqLQJ2vVps65Al9YYOgTTscPCWPtSRWhAW39AhEKcBTQB/CMTAILqwDs5C1QocuQdxBdir
CSd6WaDU1sHZoXjhTvBNk8DBmsx4S3AWktdPdAiEWiwI9UIzNejhMPC3GRGr81aCgxUQyBQbutO3
9azpjMJFISG8tIpxRnDFS9V9oRhkTPrGTUnsY8W6yDUHGyps4TNVZXCkmkznqZ6eaKFecrvPK7eV
9WlbWtI1WJk5WVZ961j6NRD+CAz7y8gIJ2mnDjHBl0Wehzwsuooz0BkgwPg4TcBF8TX6SUYsc2KW
KLBuvE99Fn4xwXXjYAO3jtUmZ6ZPzlBjjViRHdK4mEVmT2Z97ZVOFWHbqYN2AmHeEbbz76DHLqvG
Nw9T35tAauGbLTrOZP+5Bc3HI5xgTsBN4paRpC7JPUdvs8qhefC5QdU/UVsbThAFU1xlKc8lLXkS
gL+tapU6IienUVIcxpFBeFOW34s6QLzVMuX0sX0mkjJ3Gr84C806P2wTBSaJ8HyXJpB3i4LSd5ju
e6fSynQXXODe4oXRf7dxHZ3WBr3pBUxu7iXBBQaDhweyXASgK07CLJ6ZDFLKHs4h45pK+0yKNhlR
2gBqVWDw0le+EyVtA04QJFfrEFkTMeQ/rRLsRaOl/oXuEzTp89DnhS9inqSQaIXwRsZFQvyR3sXh
lJA2HmlC4EkYDIHLHsJwVgtmsp5lYG17yEVtp0NUS4qxoefe2GhIPCoThScqI8koJeEx6LujXoVn
UYpmqvN7VyT2d0gFWzykkIDVpCBuV3XhCHm0m0SVH4/0MLBhIlAHCrZgExVaPg/bspowDMZq4pcQ
iQQ37zJtqD2pcjMYQdlPONV1z3PrOiZcEqJdxLD9nSc9vGnRWhYXlm6NbV9TTtg1Nu8yPx9p4DyC
NRiJQ1PKZuLj4LrD8ryq9HQUaHbHM5XDyV8SXKHAgoBFwYzDnEFC3EdDwL0fpkjg9J9GmuGnFDxl
LgOWTrsKsgu49TMeeykUBtgBeIN574HFSGGOS62a2g2YgUFjNODPV+I2SgQFpU29Ue0n2lRX4bgy
45HnpQzCbBAmS1hacoitJNw2woprYWO7ZZ7EjlWH1kWP2ouwrS6tJolGEodIODGOTyHWpqbgjn1X
kKFUqA7GKkcVj1lcnggwrR3SWm5cFtbM6hrv2NJoPYF6CeMSa9VnwTKlubqqWm8S4BYhLqr8pgGu
aK9F4JyGMZd2UEw00V0jrUHjNvAtR6/ZYZpga9Q0HeKsrmBZlx3PIToLoSV/JNJUO9QMfSoI+VRD
XtwBg+I6KcJDGqbnDZWOptETaf7jUXxUZVb9dxfFi8ZSx62haTwtIelhN1VzXEFcZcqYCrkoRcT9
SD/G8LQgD47q2vheQBjCQX18ojc64jWjn3sbosgi7G2uZHIrKYSWIfI0y8LuAvJux5UpIOwZ1MRN
EzubRAKBq10Hptt2WctrQSlkhpJZKnHuUEnMcdcBhKhIzirNv4pb7x89q77mBqgHW89rl0blkWjQ
vI0sayQjAlFLmfljVCEwaqBoITLKUR1KzGmPEh7L+kTazZcKNpm4VDPOWUttniU0ndmmCXcqPeRV
FNdOrrKjKtSn4LGkTm1441DPijPBVMdDiEpxrWWuauEYYM+KuFkLF4KG1lewIxJzlKXtSYrVTWbQ
WVqZf4OjYs5EgnhY9t8gvApBxKydwkvH4wBD4DNBvRtb9DQIQcuwTOO4bJyIaRmvMzTVCmvaNYUb
YgGhaNFcQG3UcYwlcTwRf1M2m9KUnCI/n2hGMfEheAiYQg4Ywd/NeWAL4UhRfZeCnkM2Qo3qrJup
xAhGFY0dzYguIOCjwVpQOTHpjgIVXyRMc5EIrmPIYAVWOqVVnLpVIq5joRzwtkueepLypOunHgS0
RezYumwhoYgdsOcXXpV2HNYxrZtIG0v7XCRR7PhWeqmLshz9v5EErhZ02nydq/V4/8tDvd5AvmEl
gbM07HsnJjLvfKZ7KwkNLQ7AGDIQgvqBIZO19rTYAXhecAbx/7L3Zb112+rav0gb1ERRl0fDmj2s
2LEd3whO4lAzJVKiKP7671HSId3dG18LnItzUbQIWiTxtJZevs9IOPl+MeX9tiUxBLWC7fYVWPw2
n9/fQlqwj/55SwoQAoKehruQocIC0/1hS/LwsIxOvN7B0ad2xGn7XAVE4ej2WTGeGalNmIw6dJw0
LPrhZlnmB9KF+5A1OlES+lhVkvBieqjauvb6ZAYwCmBETNvVVzvPneJbKhZxMHocrl4gB+wgk3Pu
Vh7uVS1eYuvWqROSL/0YkASs0LWrsDkAcrSZM+g28Xl0ZxnGQi9AMPEB8nolFpu4jPvJXPE+xTC+
Nr7THnWHw6YrwhzaVXhwImOS0C/U0W3mnkG+6ENsM82HwGXvSzM+CF1dhm6RmSTUOdbGMScet21q
p3i4IzN9xdr7IR7xUQq3uUHn45IF3pwp07dZscRAUPjR+F6bGK6vpLFP3Tx8jOvxXJXqlTj+vh46
fLF28dIeWlQQriaZl/DGDuwrKLwmXVcQiViFzmskRFq0y5g689QlJTW72Cu+NKUPOxsTu0KoPHJG
TLbhpa46UHvbDleVnczBDX22Ffjo7fle2PAB8mibktof2b36PgicbSYMJT5fQRadjtBwmCtzOYg9
qLgdiZe9R6bz7MY7V9p3y1iVh5E+9yaUaSQxpJVay6Sf1ZAGXd2lksGdFvNYJIsXPA9zezM7Ps/G
YMi18aDFr+9FRHPPG6bUK/gbZM1vc8QFDoywz6bAip1LpvaGtXDMyZUmER3JYaiHaykhWIF/S0BQ
87RsBU1loMKkp+KovemprsV1Jh1JKB2WhLX1bqOw2k6mpd/vZ5deDdTGqR9iWAHAxsqpzbTT6ZxR
vF2ZCrGgNHzKotWSQ9T2VS46BRcfL6a8GkGsFXBWdRycr6LnYmFgs0Zlsims3shqeTpp8RYZX8Ko
5FTZRgMeCtg6smVqGuguQZV03kwS4tohMwH8gdhRH6ICw94Cbhy8rruZCmFSIN04KQykhmqEzOgH
wbl1lit1y0995BdJbzqWh4peOuodQONMqebxnemVylrHg4OwdI+EE5XQwZ2SEM4TnIzmThjnKMUk
k3Vpvsz1DOHG/zysy30dzCZzefeOIXUL/rdL5MJu9RKSHJhfJoXq9SVe1b0/+F/rAKypGsqD366f
lzq+NV7/UPVtnXah/dSCKEmUE/IdC+t6N3A5J1NBPykxXj1ebkJf815bPR7AhOztvESp1zo0UYFq
k5hXD6LkCx7qCmv30Dz3i3h2ZbkmVAdvktSvPZ07vPwCUrEoIAIJ/2YW7KmWztnl+sTijuTEhDkt
h1MhIH7NADI6xPJWx86naVz3US0uQnZtglVrSaCWv0wQOZOG+/FBD1GcKahZh8XFG29UcXDnNYI5
2Qgt5ofF9x8SYeu/++9u9t+oyF9urP/d3fXDC/+9Pe9XOzsukcI9QhtXANbwu1frt+MRNefgIfGv
G4YeDr2fj0f0TsAIFFMPqgmejp9JBFQy4mPhFxfVE7ie6FcX218hIumfLEoBLO2QTXEtKcPlKdtt
Rz8fj5AtIs/MLL7zOontM8SDvZe+4P3Vd/rSy8MStPhr7Hvy6gMJ0VOnqz61Or7QOr7IPm5SnAGf
GyD4dYSy6018twaBKJPBbw1GqW+PvfHHfNbxtWHLt41Yx9Blb/Hs7R0sk1xVGQ/HPcGSybBsmsE5
OFg+Qwl0s73Veb1cm20/pZPMuKSHiHgHUtcDYNiSAuNgyGC5BStz61mSVdvWu2z770zWw7ptxL3j
fq6xIhuc80fJohes+Ecrly+gNm8YzNbhBtPop1jWGR71BiYO8S5XljXbNl5ve3mzbejWcXYGRCDs
Gu5hxBKvt21+2fZ6HM8yH7Zdn/gM320PglMJ+9wBFMCwBAvGhhPkhhg8QIcyAB73Z76TG6pwJY/y
GkCDAXA0qtE4aoBBwKp+6gBK5rp+KHtxB9moShwc/7tuQzBgbI7LhmniCguy63RhRpZAA3EA+wwb
CpohsKegqi4DAFIXNkfFR8BYr/66dpolZENTsEA8sTZwMbHWNxj2F1A47rfJc04uoNgyrZd6w2bF
htL0d7y2ITexYbh1Q3MGsM4C3nVOv7zg9TxP4avtoAxVKtVtC1hQnwgtHpYNJ8qlqRUMHvFYXhyv
n23e47jiCQQlUVJMxSYebw0Po2OrWICNTJf7CvPbgDEY4xsvcspT1Ai996CMHvFzGUgekGrYlwWL
HwogpBhrmWv6ZBSWHnS4BvtBhkGbtbPhe3cVmN9RL71LBAP1MxOUHRzbkB9etX/m4rY9/4W5mIKU
+J4PQ3HHf+BY8UF+Qg8hMnw+2M1fIcJP4xEyDCo6fidSf0UPDDkgULIxbuPEQo9I0O/jEZU9yFGg
i4lu90ds8aG/MR7hu/sTetgMgOirh08T/2wu3J/HY9xFNu51qO9aXcGqlMpRkFNr3ODUg86s05p2
H9eagwEwzoX1cNrVYafxsNOsxAjAO7p+NHw6N8w8aGIua+HWWFVpjD2ZQY6uLFw+09PSrbdR5x/D
iiYYsyIZmbobjDnRYaap6cZjZeG77sBiLQXHZhXFBmPa/+YzPqXLd7mgatYUkqeXy8YZE8uCHZ4P
lgYtxmGsyk8rxRKl2mDNMc+6jMjhMaDznASz46Xwk6b+YEm6LlMS8FGnsi+e29jNJo+uqcReFlbL
Zzo3SV2MXYabzb+MdVSlyIm8UDgKEvhgj75hsBeABoNv5oXyYM+iwabF4u9KJp3EV93BozrMtGAH
ZSBxrQGmMzjNz6soPneTuSOiHJMQXuKKxFXaBc2+acwR5Fu/c80GZDSIC8aHrxzYJDNu/zJgRUr8
bdoV8/ROC8/eqmZ9q4awOIMPgnEv9AA4OM2dnrkfPHC/WQDbV1ptBgGhTLxflubshqP+xGItAbmQ
OdvBfpjaIKryoIjEDlAPeA8usJyVJTBabEUye726WQkzWQPH7o6JasiKFgGnCbJAIlVTgnaFNW0l
VZH3RFXnioh2z+JlevBCbZ8Wq8tMENg5GtWSm5V20c4uTfNJSO2dMNjpi1Zd90FJd7wvqVcdgWrM
ZYwLP9NrK06wW2A3dYKgvhRLP2xuI3OZpW29xHak+GxY5TDI48547D1ybUTs5mW5DB/Jih/8voDH
+tWpY/4tYO2cd5skhnk/5w1UsrXz4OLehDO9SWhKwscDTW1aLX7qSz5Ca1PQ3GC5ilNnnG/lJscV
mzAXEQ0UuIl10SbbBdDvgk3IGzsCR+om7UHjg02NJ80m+/WbAEg3KdAGjZuJTR6MNqFQfNcMveoh
+iEiQk4Um7AIelk/xTC7HSmKs5NyEyAdBilSQZM0mzgJL1RmNrnyHzboOxtEsBT+96kOn+j8+6WH
v5NA29/6aYxHuPraRUgA/mSstH+QyiJkexiuXQxRtQLh/CcSCHsxfgsDFvHMP4xxhjwnhLXIh93k
749xcEZ/9CSHUURc7NlYwrebZrbq45/HuMHQhAerCO4aO0Tr0VIB3KhLfyru4O/xgVod+EkPbAOy
zlw+rBu0baDQZtiIMMULWiWwWzf5HE9BpsKOHAhWmYxtUHkGZnY38Ixx82Y3ON358ONLIOz2O9QG
5q437L2B8GGD45rBWMM2iF7F0Nia2S1A3gDALxuULzdQX1IQFhvMd6PqWQP3V8D/dCMChMl6bffV
OC2J3qiCBpyB5cuTAIcAEBom1UYreBvBEG9UQwXOIa7llW4kxAxeP4nBS4ARAa2xURVw0/WZV7QC
Rtbxmw8+A8h6Sjsnyqf1fdkID5h5c71RIG3X35iNE+k5IPRGkwQK9mXpL0PaDC6QvnAQZsBOnbra
nH1b1bkHzmVmxW4W+uyCi3HByeD2kr3yVS7B1UDr0NAVhiaV2n+fQPQ2S2GTmCTQLS89iGAbwoU7
8wICewSmAGQx21jjth0OHWhkI+rHFrTyNPXXQZJzCboZKAMmsLC7aryk88ZIE1PJfj85LtsxOpzc
sPvcq7JNEb+4QPG4wJLZ47TcMA7b4I5roIa91rLlXq6+IyLHTuuw71ywTZxgaYRhABQR1c0XL/Qh
ncgFPqn5Cw7bXeTFPF0Yfrual3foYCqtcdQknTaHaS1vg75gubOYdTdO5bfFAe1ds/UTJYg6WnN1
tfsK4/6JCPup0oi/0VD5ecSDr5VnTgvh62tbjkilTgOs8n6fMg2bdkjGQx3KK/xqByAs5wID+eNa
4duCy2NMOGd3hVGwj5T2WxCG2VxOkBcaGucTXcnBRt/cWgRwX05PeoL1rhuQ82thBW147O9Dp4Kz
Gx75wQ0ziSMvdUT5hTejTdt5tTu21AN0Ob73HPWpAiEq8NiAF+xNAiss1CNl84n3Q+LCZmaWoEix
E9yvhfMiJ4JFx3ehQtQfw6JE4tf1okQVa4KnOYNx7NBGTZTSSZz6cKM8YPOdRxaCR2y+qXK6G7rg
TSvIX60FFFvrW0QszgO2goSK+NzDk5x4vq/TGke+LCuQSZNe9qOB32xCQjnxYtyN1bBPNhJ514ZH
ovgnv/GHB+vQMnFKBje+F34E/HgwnpOAUXwZy6A6DmV8tGY8F5wNZ3CYLxRKG/IRDw6lx9Jnd06s
riWh70Ngb7tOHhqB96alOEUHt58zWPo/aA2lCi5IPld7WZdx3pi4T/D00Fel1RFobf5QMF3Chd/u
oAaf6aSa/zWh4/+qXQxWDTD9//3U+o2j+Z92qPr3/4BC8Nd/Pb5QK4H7anxKyVa3DlfYT8cX+ReJ
kM0Lwx9hOxBDv6OQGLZmn0D4QOPMJlT8pGH4Hm6kRCesH6MzErDhb6AQtNT9+/HFAHS2AxG9NgFC
V/92fHEZLXXts/bOccdPvMLgt3P72V3DY+t2fVJTLD9yzqOwS4jGEulzcJ3j7cI66KML0ENXjR0G
qJPKaPZ2PCQ7IvyHpdJezqKNXuTrhUxFRh0BRhLPf8VAMLRueynDsU21gyewUW8dhftgdoOvhQd0
PzgdT3lozobprzjDwPQ3sF7Bd5fTVYeJu/Y2J7PTYlqEBo8xDpVojpEeXglNJ9Gvu16s996KUeTx
9jyb0E9g3XzxEcPJ4Kj9Kgg9AZwN2WgwN7iGatNBEwlLqDJ9FN/b2H3WhYWzgIGiKEtnSdpowv/S
ukotHzxkwnmRRMXR59MOGkSRjPC0IqdunmzJb6aoPw/FcC7xPSVireAKgSCyVE2mOe/ypvduCtd7
LNZ2gvMMtC1KIZDBUxrcbYNzLgj8Q+evVVqw4ZmF0kkpWfnMwVuMFX+YvHp4hZH8abXBcp42SOdP
at+6C0jkUb5CVTlWfbPvBmT5gzkUSbDAhTf7hZeA0Lgpuffkj7AqzNVy5+Cy8rxpZpt5oeW5jWHU
5jJ29o6YP/hO+TUEbtzDtJ66sKKfBX2bzBv8+rtgoG9q9cV+lrB5zIpDGFk68RS7Zf/QEpy77xW3
XxdTfrA+gSFuHkSUNLJk7A0sz22B9/eRTD05mMkTd54s4rugK9RpjYs0iOGlWyJ6mORaJ6QkVVoG
8Xrr1xZcVSW6ZY+4z/OCfHpUdeWNb8Q7LMDg7wSPR9iUcBYl/6zpP9Z0jKW/MPDSt/ZNv8s39R9m
Hj7CrzMPN/Hh8ogYJjWkOfELmI3fmBdU08ch+JPv0ux3Tvj3mRdud6Pjjj/kA/4483BBwWZEwxqP
5N9mn/07Mw+h5T/NPOz+uO6AxgQhMTAwf1zZe85gA9JM3BHS8gN2533J8chh0zzPkV5h4/TUxcye
2PvE+vvYzPd9HcDg1HefZeAJiFfq0K5lmMe+XFO+UD+pg3JMYa2ySe0sXlZOzEmikdoMm1h3P/L4
uQytTEEC+Kkh9oyAyQXs4YGJGIYpp9yP6/BcMC5SO7IbK1c8LaLRh7mdTryrx6QJwpNFZwLqSqIb
cPsfeQgEPVXsGi9Rk/Wyuk5EvnlhgJUt5E+6C4dkgaCJhFOk00bbG9pHz6ZAEAak2Uvcimdq9Dlu
XBS0tI9OCH0NWzeI1PJjLwtYRVxk14rlHNngQ9/XO5c7n7zKpCB6dxMZIxwMw2WIxIvH6K1fdnVS
hmavTdhDYgzeppah+8C0WHIiKITUlgm8xW3mS0MR7hrXnLF+zrXWK+KL3Z0EHECWzj+I0qsSs8y3
S6vnhNvF3YO22dV0/GAaXYNQcvvU8ey9X9Av3jQ8NvO6g3G/A8/c35uA7tayO1bIwYDMUvd0jj6W
Y8HzIVhfaIUZXS3hkMGD2aRQMcXOr1YFMBbtJ2mv0vTRzi3bk3Hb99JCLmaT95GW0kXuwytSLH13
tY6827aIDobxh/E2KI90xoRa2JmuIO5gJNhVkcbIHZFxmGydT/6kkXlgLyUFNzGjvCZpRbXHAdsn
TSe+NBEVWT1hzHmju2sZEgwEdshpPVRobcFJU3+W0n/HlRDv8FPyAx+D2y39AV8AR2JXd3m9tsGT
HzYIuqGxAccSKmb68dSF9NiGLiJV5U4y3uxcpO3y1Rgv9Thd9+z7QO7DecoX7VyrYfka22aRaUhg
1CZy3NsxUPBtj6fAGb0UMvUhplBghFfUSElFLEMv5sFzeL8X0rwhB/YIKioDuZSTzRSOty7eR/Gz
8LWfluOkHwBYxryKucmbCN0wK7IOMGLNbg6YBrYtbD/EGnl2r/ATpJWPfUwvhVZu0jVQUFpe47mI
QCmxenB3/ig8HJyU7JzWh3CPQMl59fpr4ZRffL4E16noPjAJb8SWXT4OgLBJOS0IzNg5V4FA0wyx
d0LgSak7WBXgJL8vovBSdoRkA6mDhNb4Afb0dZrckxLXKgiGREp2z1hXHA0VtwbOg0RPyyn2xFfI
tEMyrvVbF3RDHkFuyRzjNNlg8f5YwhFp9jHkWWmdvb+mtX31uP9Vy0tdH5VY8kqMazoWeBvornhb
tzSXt443hW1ccFnOgxmCQ++WDpyG5ZPDm/dmxiPjoaknR8R0p2JsY043JJDUQOO17SNSwt9iLZaU
G7zv/DbaB6LneYBwdOIM6JfSfOyhlpjwxu27RwfuiFujkbpDLrbOo9gWmbHaSeeiECmXRMCTqG+0
bGBriPoaVsHqoZR4N4cBd4+yrUtwmnjFkcVDon21V6jQkF4sYJDqtE2H1fngg1iEPxMPVmnHInE0
RRa3aYqdXqc6E+MUHECDwlRbnhpEV7GyjNcu8M+tUA+kII9FWInM9fSpwKUZuW+tQYmVkLIGqe3K
lyYGisup6mmdqrk+z7OG2X3SfuftqqXoEX2oFNhYXv7S4/OPMrPdQPAXloOfGub/XbX+fofBr6o1
KkZQd0/hYIfrJ9hM7L8tB6gYwZWAHozsPrTjDSv9uhxAe0H6D80kW4/VjzaTX63vuAgDhnk4sH5Z
Kv7WcvAnzRrFJpCr0ZEApTfCBQx/XA3UvMxjB7sr1IJ7yYN8raPsp5/OLzr5z10j+P6G34tPtioi
kI6waYb4DiEzBdty8lPZBMVh7c/RPN+poAYT/+SQuzi8quDgFveLvlXuD/yNqNXvAaGfPx8k/f/P
Z9y+op8+o2eYrBCdRSBomPFoAwbFyaoEpAvBhbouUrCTnsLhljbw+Ci6o/U65mNhYAabEOLP4RGn
rwadcke68R7rOASZqwQGNCsvoWifeuZBq5fkq3aab7FxXnqLGjzXC5BvD2Dh59iS+rUN4aMvWS5b
pwPYqvghaOheIVK9g7vO3/GhEvtiNbDNIyaEOOTsI8GM2AAg4YOzsHSYqw9Y3c5x6IskqvTFGQu8
SihB6ICSEphEs2AFzqPLtdjGcuFgmRDuPdjYBDvKsSdzBUqTn6FWYK44H6Xj8kT3r9oigBiViABb
lbvAUdUU7IOBncoqNGCCxLJzkMXeI3J7I+bIPkTfIznyezxHbEkdishOvWV3xu8xHjts1WpzJ424
a9EYNqF157bvLLz1arJZh6H2uSHsQuly4wQdtqjqaJrlRsbFrUOa29XSZ7eNYbJxnBjz3N9Jr/oC
wvtr64gQvrXgBofBCcHaTDfDZSqWfJ7X4+pX98SOaV+MWWXWy4J44szAg04QbYCnl7PS5HmcvRw2
Cg5Pv/0YtsDdRbc2t9Xc3/fNtJ/ZctvYBgRhEyVmoGCBJ9CPo2F9onRDkmBtc1VHH8dpBbXoEL7z
umE+zvMy7dvCU1dWjeulRQvNDj5aENVfY2e5C0r2Qc3ShU2xnQCoJcLk3aloq3sYGh4W3e9KBy+L
QKSAVXESddPXqJxhVaQ1vFFLHs8dFBnjZtBn0deGbNqMPUShYZAuwX6RekeCIpsogy2ZZEKIB9sH
910xjumCyEmC4gL9wazlB1rgqILXER0EL0HTpyYK5eMAy2FaV/JbDxTeFfHeX/rEWnTRoTAodRv9
ThZ+7mcK+wQ8l5hgR4S+we/7VU7BDbgFvy8rfROENVJb3d6QMG8j5OBNcVZKHGQIx6edslA5twBB
mbc4cHPQ6wqRNSkquNF8eLXH2H8KpNpMX106Nv2S9GG7HhrY6nG69ruh4jOaTpxTo+yjGpYyAX1w
W0mBxC/J6lrjbV2A0p2ZBw9M/VZH7EaMLQ7kGtnoRcGGU6ilgxtVs8P3sfbP6bcdAX/h9Puf7u2r
kP8BF+Ov/4yLcX+mF7IAV76EqAv9/ehz/4XzBu2fYI//GByFZxmOXzRT/zAd/NzIhfs43SgELP7F
xxD9LVjs/dnODLWMoAppi59BUfu30JcYQtuEa6HuSOs/Nli3PBWeu0BdG4PNfNk2Mk6QN3GDQ72u
ddZtW1ux7W+TmYuEjMOYRCueLBQ9fCABEh3lELnJEkxwMFoX8HRbgGN8rD4SZd5igz/GXHqbv/ZB
bvuk7QWDNcncOCN2za4H6w8l20kdExZZtO2krQZHLqdlvCVYWCOESm8ibftL7cGlKCiEZV6AhvK2
VVch9Mm27ZeWSNhY2T+WPUMidFuRiVTHETszqio54hdog4iC7h2dQU/oW3E2Rv4gsHHDwOMmxahu
7LaM25B/Bj9RJ2M4w7iAjb2Xx9q9uNsWX75JP51ijhMHCa5Fz+hP2tb+CAGVrG9Nk3lWDfkAdLBY
UKFmkl9n4AZ3ghs3JviGpC6OCthidaIhWfvcsZcZsMME7DUEDBEbHolXBEBiQBTJ5X21YZZA4+gT
xr1rqNzwzJy7MFunkx+pZOJcHaMN/6BF5QOmaHCNAY3gSb2qnqFEYUNNlVu6O29DUirSwFQUdO9Q
iClvN8RVNIuLrlh28QDG1rkKklCWWc16YHEF0Lsht9FH7RNTiBDTGH08FCUMOd+wHp8I0h6Af9wR
dQIXw34k9Uk10WMQ2zd3Q404eZIJ1GCtyzgT8F4lA3pYkgFAcyHagzAznnwX34sFGI3RMZo2hduT
+yGY+ge47PGJ0U45NOLOBvILzO3i6KFtEW/wt1hUIpFYXk5l477IUd9IhOgyBxGprFr8d1AM7zpa
152aDLYHxYoDql0+d3hEkSP0yrRBzhigYX4IPa7OHSMnXdefBhujDdFFglaUe7E4l3FdIVii6RL9
qAVOsKaA0U2p26m2eHz0Y8mLz2MZsUPvo0yndrqHwvplYrz5efSjYzNO/MBCcUKOtwVVTLsdU/2R
8vCjLEmJ1ayn2FrsAz7mcoHNUKNbQwgIXlSm33tUtEQhjhtvL54BroQljmZuETwrUYNxsjDiKNX3
J+Wh9dI4cPWVazUiU9QihWiUeOGk4IceR/J9TUMkyvwxM/3q7tjcPTEPshefSlRX1EBxnqjwAg19
XrQ1IHTVVHjaJ++oqo0UqGmZSW8+EsvIcWTlMXKLdk/xtSQj9SG5bU8pQ/0CDHs2EWN/CCboig7N
agE0WtcT0uGt4+JJC6YUNSsmWYMyymKuYH13UZSD/0A66L6GUUko/dE19TmU80n4620cyAcdgTGy
qtuXDtp0+w5ab9+4t9rMHysBXgqk3X0XzNcGmjZrzI3qLApnodw1esLAEfUTqrBOgSGHVanHiWH5
GecepnSBbTduzaVRYx4RKXbdCnbLk+amkP61wXKbm8XNI284efPcY7+eoYMWrxV379A3dot6tHuY
mqBjaPW5KLBVzo19aUsw8MHIWI4umFfVRYhsghBJJm94FGVwNs4gct3iXYM+vLV58uc6PFQB7UFK
bui3FGhy2vDwP2c5YBeaxP8azb0h2R+Xef75PN8+xE/nOWosYTIEkMPH31LUv0FZXAAUwF8Ncwh4
8C2P/RuUpf+ClciDHxB38v6oj/gVydJ/beluNEpQeBC3xNPfOs+jPxVBxF643TGGfNK2UmxXsv+M
+9QM9Qt1S84txLs6bZECqTCZ+pb2SY+QwK6J1oOjAuy9ZXeFyyZOdYWI0TKiMGedRNbWE5zMLprZ
6hlkIKUC6tZaZOPIFvg51GeUrz2hIel1IOPNOiNejb5KhIJamQcC6GvwP/JYwtTQ1RlH/ZzxajRQ
jP4XigCqjigaWnxyjYmzJgsrQoxq+UxM9A0MrtnVy/DQQbOP3M7NLdqIktmJLJxk40swI0VeuQMW
EGfZ1Whiy0bh7PqxmWFVlhCq0AMWFFjk1dydShstVRYWwDt2CWsnK0zwOrTaWa81Gm30DpbLpfMx
TibxOI81GWB4dgOeIXOOY2CJUSshN3/y2uWwf0fpuPq5DrGbN059P9frlMR9m3aCwQxC6q9TFL0X
MOBjq4eLwJ9uW/3RU5C9inVBfV4MCOqs4iEybpO4nfdatwpO51h6oGVhVlFwstBCqdNI+s+jV9YS
y0MpSB6uGmCVdoF3HRuO4VZGYbaszSMp9Q8qVRnQv4YEL30gnpAYFneDNeKCruA1RR9VDlnzzufD
sW8FaAa172S5a+PohOXqJYJZaoDTfD0KinBxH5AjtD6YG/F9o7AIfHEBS1xCWuun+HqeAVuqE1Kv
YB7x40uYWzibGbO7Kxh5bJE423XAtHAeReegq+AFwcpWPTXK8RAAb0EO5e4CmcNbr0TZBq2/CkHR
VoAcGMgD1+u1GNE5ZaV/B+kEvXveAamia1hHx6K1+0bPIAmtyvTEMaW7OxPDt228zUuvkbPCK78M
SVmH6B7s0AwQiUdsnDBjsqfOgaYbS3UwM38cenuRS/Ugu/mlmtyDC6oEYaBySOkYSlho/b1B0GcH
9O7tTLReaC/IGS85aMm5fq8N/FYSX5uDQF7u+0t4AG+dGBvtfRu+ehJNcj2BDwQpL8uLDx2KPY5r
OPGL7wQPcO987h2FisJHObsuDFXxlZd1NgCs9oM9Seo+kbhecDbWe1VJaAE1dlzfv8GVbq/dzCtk
HOhumNYo8cchKwdepa4DwX5cl7e4cEVOuiWz1N5ik7orCXtGQdlZKAdOyE0zDz/7A6EZKeoHy8u7
xQ2eR7lAlnef2pG4OfFgIUIZV1o1zm1B4n3d9bdzNbEEKfbPugi63EcuPEZ3VOLr9ty2+GMwYC7T
PKHsoDsyPl+wvZzxJ21ujO+fUHeIMBFbWm/nVtOaUovOww8lwI+Hhhj+qa68vA9rtBSE5P+xdx7L
cWRZtv2V/gFPcy0mPXAVChEQAT1xA0DStdb+9W85M5kNIllEl1kPXpv1oEZZRES4uPfcc/Ze+9si
tNs0Hp5aa/RHa/Bmk6+gmM+dWRzzHgk/lYerSL3Tdcq2CavH2cAPJuOO5MyhX5hyf2NKdeai7s0c
5iePcd/sOAQ7mTAEdmmq10oS7hAdXssFiuB5GY7aMIL81YpNUDTmzmqqbZQa2ATSh0ROLzCN3RlF
JdpYN266SHXlKjtGAAxSsX9Ic/XcxNyLvBre1JxXTcRGP8iXU5b3u3DGWZ/EwzaT60NtyTc8JPuy
z3jDmu4SOpQ/GLTW6FY/oo51l0jN/KEV6TeOB9oiB0ER1waXsFNndSs2qt81NPuXcTuieWZkczFZ
3abLlutuSDuaJ/VRUZrDVPHImrTa8za7A6f4nI7xJSOIXdeoX1sgMVGp7yQluh/a+KyZ7S0SkczW
dJrxGsXbYNKkAseZ04ZZgJAGcnMxdwX6dJk3TBqPUZke4qV4njLlbGXIJ4BNcn6rUePq4kYdYh/2
5aWWl4fYML/9X5HyvUhhuv3faTi4X7P/OCEX/5X+iL/wd42i/IFgnqm69Bew6l2NQiQOolmUtT+U
RD9qlBUDTlII7PAVsit+byn/VaQQdqkQIYJkSNcVHBT/Hq1K+6k1jVkc1RHmKXhagKqolz6027ug
T9psKeSrArCAmMYXRpg6yjB/1gP/rsL9qeuOI3xtkzAjgPCsfRz5w35N4Wyk45WmIREkx8JUPW3p
93kMi62U2U+F0YAe0JWX1txf1Gl1Z8gNZETOhs4IQdVLGyk9DI1muejPwSDPHRu5VtE8HZvHsa0q
JzcjVKSruThqs3PFBzosEFelGKO5MwqYdTWvtgkx0FFgmwAfMQ91Pq0JHBzkgPO5lqYDVUkLP9AH
H2Z65/bokNw2ndA4qg+CaRwttachLCmPrBClw7D9zLDvRsinkyBopy4WBwbRdM8hh+9gCZ7GIA+p
mqQ7dITs3+EwuPKqUuyH7hokoT+q/YNlNl/l0HgO8/mpWUfeaW8ggZ3jK60JDjq4PR892la3gmbT
Rg13qGnuSj3cxqYaOmQ4HCiAX4sxSv0hFysk9+iWsnKqXKFfKScMHcn/WJ6lPF+dD8mlamJqWOcB
QqW4tZ4+94Z017ThsZxo8pbSfGPU/QYnzpYptwBKB07sqCoxB1GQsJGsnYW5oubqatMxrGerY9qs
EOpQ4/Boe5UcFbokJhpw7l+yYc78zZyZ+4u6dhSGHg1mAcmnRsksGfNJHoFVzkinx0iK/VTKrmBD
Jj7b+WbJ1WMYBqHdSerGGri20ZiiZ9C1wa1q6xn7zpZz2U1ZLLOrLO19rNMXCOEEUvhl53bsd5KG
5a5RxDeRwCA7HOf7LI61zaQsZNdwsG+jZABp2HyRMvmLzMbopJO0LTNrR+dPQq48bkAeXedAnyeA
9BeGshSOnhVvS1I9RkYbOble3iIUTly1NtLt2CsbwxgdWQl8PHgQC3nEaDaoY+RJU1S/FEkZNv5i
Cmy/mj5hBRQndll7lhsYmepYF65ojL5kjiu+pJn2WaZx0iVeRVwb56ryZRStXaxJ/rAw8ocrXw33
qaagkgtHSVyIUFn1v5MUu2ki7xRm1hK8om4VNJj1C3L3GykVvpoWt6lGwlryNILVGfAytR2djdEt
x1TaYTkEEDQOF2aDelzAnaTFNOuHdohXEtz4pCdG601hdQxjMXDaakJivyJCWxyJiOy6djuO3SME
bLrfVuIMiQhJtTymOq+sUqRXtPjwjQs7MkhUPDxR5C3TDLlqiL/oI9tYMiYKUEjpBmbvZiq7rylC
eGdiglbo1ePYeLQfd5GKqbITtrNuvODefF60OXWMDGDnnD1n6nkYW3A//b7i9JEJ1JZF48g+4oLI
UhmCQOoeFXU7yMx3pAhB91ING8VIOipOgFPhoD4X2Ce7qRzdQGgaRHzVppeKy7kcn5qSbJF4Vu9J
HjCPlQAj+na1FoWm2gRbxntS9tky+nOHmJcGaAOjW5F1SMaSsQZo/XSibFumFLM+X42zY9jqJthP
5/K4oywVXoqHykt3tPvs4MAsrHdJA9q92+l+MTpdG9A/L+J8vGWw70D/Iidr/XrvBplN0GuDoPfL
1WC8VMHOEjl6Tc9Cmf8p8/uXI9NffQ6j3+9TZZ3IrA8HZ6tjz4pBtV5J8QUxCXaWfbXCHXC/Tz7n
593vz8vJ9WQPxG5t0JL8+ffUqGm0XorEK107NDoKTvQV6sPvr5n6q3v2/sd8+JA+EsVWRtt5Nfjt
PT1Nb9iKX0ymX3Z5zHnG7BtwFnbuy9u7k+lm9mkgUui+9QLvOtmP9hZj3EXn8n90S5//efe//37y
z12KPy/Cyqk0oLxg1vkuUH53UzNw87geROkKrtspuAZQcJQewj2EdnQn7mzvn6TN5Jxqf9wSEZMf
8IFcA7zy0eM637/K/42w1mfiX4+w6HYRqWe/NK8vzcs/G17rP/5RTCJmX6dUBqWaZaxc53fFpPgH
MnVUlUgnVsQpldwP7Yb2B/5b2k8mvENDEVWegB8dLwWUqkzioqJQnFFm/lvYwp91DigqMO2yQhFR
I4P+0ddO3fvlQYnAjGE/VU9R/ry0p2l6endZfrH8qNLP79L6CYzvWHoUcjR4VD9WkX3Qqh292/4E
0t4D0fKNCDWEgMmN1nTfgDW7tLBiF7USqESh2CG838J0BlhVQe4R9JJxgbIpjIa2m3iboMlT2+qL
kJGIIK+EsWZy2i5FgR9ll9h0tPRCGbpauQxz1GH2xCYdchEdLapzwsDKecGyK2q7KWqDb+BIOPJB
MnYpTA1UeXH2pZZXAyjSD09tZfStYig8Joy/XCtV3/poyv1OMkJHTUl2wT1Vwq0zL43KELzMbB6t
JlQ8SEvrMEYFg0J/G/1G2QG6URIbJDjVcPycyvIFXmrXsnL0BiHokqwot0WByqEhXyLQMnoh8RGb
rcI8vXgWxBH5vjp9o3l32THIQBm2LH6vmm5YdWeD0DaBM6dCdZWKAtkJ/b6rxBJy7Xw9peY+WXDg
h0tDqZ7ua8N4CaRhtBkNbkNsWn0av3TMuhhlwafVzC2CwUuB4A/6dW4UyE9Q8fdWb2zzWrtQixq3
kTwcM2Vx9Vyh91Rv9bnGuqta90m8wJZMs6smAKnULrAsY/GpqmWC84QEOaR622X08DCSpTbowzMu
upLKfwJQZsa7OatjW0s0DW2rvhHruGU8SaGrWt5Iuc+9WF033eDjP95PKIMtdXhQS8UBL3HSW5gw
3XKZxupNlBNRSNzJxlCHYzQ2u3Ied+GUPEQDBWVujdtsoGkjZ2ddYifskuwB9/A9uMQHPej9ssFz
tmi00JpnXe1QL3bWRlDap5Ifz3F92gjz8iXNDG82IqcJNFdJp4tqTEx0qhjx1Lngj5oAJlQjsEPd
eOYt8JM4eQoDJKBTC4tQQM1kVPW3uUy2Zpd4qlI94wh4EgTx3Boz54kgcYfJckQte13S4DqFHMcQ
KrxIiVHagIBLbVUwbiMSDuqqjxy0QYwW8/zVkjieCQAnPHNh1GtObbGPkRJDt5IGV9PPiaU+9lVL
NIdM6xrDAW9PMp5FKTkIfWXacg2BTqspcwVJu5lMjIv93GeHgQPhKgptPSurkFmqGKnHVj+FeNK9
WNPvRd2kBVwH5ivJDRgnoQmAtav0nvebQW3r5LOAiYyWTgzNNNYvapQyrsWlsJW0wh8owOOloxm5
DLAaAlcE0esW9KdEG3FgMHUmYXmPkwxwpBnNst3VzaHDps7ks92RdqTakkLtKsl1u8UklHhh3F/o
YHzsNq2KjbRoGyBIFlWrjOpDzSqv7NYhbh5nlwbeC8TNQnvN9Dx0gqB605b5vgmUFyOFL6xIxySS
cseSBMGdM+EiSJl5Spmk4UzVJhyTZX4utV7gVTWC7KFPi5txgIgCyvZSxR3CyuI0ierComXcXxUH
ozZYELG6SMYK+gM8UjHEZo3ah3WwJX6BAS+zvaW7yBJhE2nRUczEh7QZHKUXyZRkTFhM6bOaMAdo
ofUxENBJdxDBhxF19VqNgAQWDLDA0cl8uU2lfPQH2rOKUcaARzkHRuaSekscN8fFTE+KXG1TThdS
zZhhJXRysKSfPGouS95OloLeC5l077J5uNOF6jaXc+Radp+5uJ0iD1RBbrHm9Bgi9ZIivKNHHwvf
6jYSwZEyaOfjVLepdPWyVDLkbXNqDNshiYZNoeYzcDAreghqPkHus9siV2I0q6K17+cm2WdJeCqo
seHiK+YOHm1kq6Vxq9VEL9kqTgO8QvTDZzUIfPict3ow35qFtqynGQ7Wfdn6Wh9KtjFOfjebwqYS
B/TXcw0Rl39oN4PWPzZxZvqrVR0PZQxcEZ9qt1WHgls8Vr5i5vC58vJJHxgIjPHa3fb6FkvEbOzT
er4To8QbAKjYZRXd9ZmMLba2DvDuh10pMJQogwwmRE/0UCWKT9g2FFeZ1Pqxh6rlVmW+wK/lQTeg
ggLVVh5lGpTnQNYmpsqCxflA/KzJ86GaXuHqhGpRaiB/gHq+Ckvfb//wwXSQFUlBxE3iwlPYaegA
x6b1f18FyL/+HNSbaBIVXvsPPaueJCmcwVFxyrPs2OryHavSlZnnzyyXjT3OFjdgzrbDVKHkT7et
HF1Eg2ybcnFgpbogRBTsT3odBQBZa9FTInIzLAJTw+Br2escxHkF1MU86WJIufZ3XfeLAuaX35yz
E/oelfyt70SSd6W2lvcltO+UoCjMe+F8K8Kji8pP4kyt9UDx7pQGbB8rPE02TIpcIx70n+9D26fV
nKdk6ZGl09IrUXcKabe2GNTsG8MAD0kYHkl5K68Li2fQEnejOa4euYqFioHgkuRIAZf+moBf61yw
K+HuRhUpMdRD3uFoMmEbWhmeYlzDaFS55jLvjZ5jfZstbbnRpOwl7TJHyhiRLGON5k3SvSiLUy/t
lDehkX0NXDDY0BojimpJTlnDG6SxZbMVUdpE+q5e5K+xyqHe0OweM4Q9GdlxXiCwG6TUbUVpTI5i
VOX2MvURdVMXc6RHKyzF4X3QS/ltPSL0t6TwQstXab5edVsduMVQssVJFSJVog69SpQvYdAUqOxR
YUpKdhGILz10FShFrItPpsCAwBil7ZyoT9maT1QwsrIrnf4SEKhFpfQAoJ+6RtiTCivk26bLNTuX
pn0vDi8pXJk32mwbUYerYmTRUS6Jz1Xa2o+VFk6MPN3kup6dLDjHkr5Mh9poPwmTBbz5i+eBF9Lk
cTCxha1A8/fvZaAQVMR/606IuF8Uq81duhzZSRdqUmXb6DlsyS/FLu9I+uSacdYw44LLa/BDA6Yv
W7Q3x44YoXGRj1ppPipqEfktszS/70V1R3goJqGYWSXDXNMTSxUSDJu6O5L04+IDpx5hIRLzEl2x
Vp/DHAuTFLUluwEn+g7RWlHVPnFfRGPoLzSPNWeQSuAuOb4feaZ2nkNX6SRXJynBaTToxs2oPyYI
isdA/qIb5K5WI8sA1ni9mG4DK7kwsLDX2GB1beYJqex+ls/aMBzTJDrXsXaTG9ZGn7tHM01hZjNU
9PS6pxasBw8J+oCBq+Wcy7BaRPvsSrrwIvBMOJWlPEmK8ChFQ+3WZGgStcLkaBEILphKT1KbjSgm
O7BCnszEmd3IVVNsOKY5HgzEXKM0kCmcoUzOultlrE6WOeE8mV+UUXyrlealAD3JoPkI89NNh/Sy
jKYLo9D9EU5jZGAJiguQhFZ8nVZCuiP5zSPAyNOzwM2r7wK8kHMJL+MgWNdj3X2LDQGP7Cw6ap/4
Xdenjt5GOHI7R5J0YsKUTawQ4myCV/TUcHHQCjKF7iF4SYGXSuNDCcswFGhE06QLo9KXU/Cn7OLR
iGZKyp6GqvXxQBUE76BJl9g1s2D0mSsgzcsrKGU1pqFU2CSYs5YktQ0LPuMo0clrRRbdRZb8RDJt
bTSvQAJvw6I7hGN9UZgaVW+XkeRVrWnSmbFXw/FQfVcwlCt1soolsvCSbVSh4G45JWS6k8A0Rx5e
MAmnpYP/Z6SOOeWTr89+qW7Jb3hAZ4wASjzqGsRRIPkXSTS29hAEEIXkAUudxiTYSIJiMw4Y+akb
tkw5W4JhjG0zUIUYZUcuYDB4oOylT7a2T95UZT3+vtsf5MiaE6tKCeNi3x/aY16gFxtyJhyXaXOU
OLH8fj/60Pr5vlO8Wxk+JpXIUVRwumBlKMuvEmmM083KyggfR3X7+w9aw27/sSfpKtNLaFuMtLR1
Z3z3y8a2G1B2DNNpkWYkC/HUOnEg32ptSKRVKfDM4YSsqhjhH626o7kCIPQE+t+SLKI38nedVhK+
kad7PRWKaQ9Kfw+B6bIUjXNG+capx+la+UwPG4QKnMK8i5/xjD4IUVbdhH06QDsk4i3X+oOWiDaF
hTdLyDQp8TYFWs0Hcl7P1cKwWtH2vdLtoG0dlnDeaWQX4rw+NGzbxCodUhmSCE1owBEOuIyHvGq8
OAt2YwXEM5ugl2v5yyLOmkN25FONsORBXuEwcquEn1zVn/st5vfb9/6irm3UdxcVhk0RN4E5nczp
OVpeZ/OzJM1PbtqHjQOeMjVymM6n2DxXiWXXyt0nj8XvP+Bj6i8p3amYyuF80uSrmD47l0mM5j+7
iv/dZvJfVwmIAyWppGFg+vkqTUY7Rq3KrwA+A1u9G3NqkjtQ/5/cDfnnZ/x7+4t4IaapNL8oTaUP
HzQncTGGSwVSxZbe2NTc28wPXMEjY9N5sAv7Yac7w8XrDTb6+8l7ybz5lTe63X7WpZfXPtvHAvDd
a/39i757LqwhtiorZBmBbOCKjuhN536TX0e+5YFQxPex4Tr7+GltMis8y60GTz0Vb5/c2199i/dP
57r4vPsWWdCCl2m47o/TTvYMu/OtK8PGdWVH7uZBcy50N99YJ4St2+KsbW8DN9xMW9Y9e9mQ+Ny6
tM5cy4V0syWd9TLCe0IP/B6GwgmU3UbbWbvyMG6bu9w///6rfzRs/ePF+lBBC3IbZ0RN81zapV35
7dfKr24lt3aQY7uRG3ukK+3LzdXbhdfvNIcDe7JPbGufnDB7OwHpnPaXwPmsUf9z8/Mfr7v+YXeI
yYhuDJ1vFe0sO3KWbb4JbtHGpmS42LpNcqAz20DoTvVWfqaR5v3+qqyP78enSlf/6z36sNqw1Ahz
W83TSVxKzxjHAzETp6HHJ/D7z1lXld99zodVx4xNZRiWDGgiXpthfBOn7ai/ovmrGTcJ1Sdb7q/X
0L9/1cfDpJCz+Gt10p8iI+Xkd1OF17//OZ99gPzza6BMJmq7nANUqh3khD6g9Zmh8ZMbY6wv4rsX
DTeFWWBymE9ldWrz1K/kx6U3P7krn/2MD4tbK2Utrvukg+C6YgMzx5oS5/dX6rPf8eEB68ul7YsW
WuY4TE6sn4jJdbAx/v5DPnm6jA+rkh6Ewkxzjt1g0iGcFF6adZdr3q4xg/Ea5dMQxp9cul/+Ls3C
1cOcBSHGh480IeEFVdz1JzX/1iR+ivUA2+Xvf9Yvb8+7z/jw0mSh1QpQq6aThkdFEK/z/JOuwmcf
8GFJXMgqUpKyHk4iizbN6FTJPrlM3/fH3734H55j4nlMSHU8x5wN7NoJ98M2PXJEcPYQ8r3wkryT
w++v2gcQyY8l9e+3/ztB+92rI9H/kzo5Yo96pDFcsKoeQz7bHl+I294N9hWWef6DrXm5I9nmtWDf
YMthV796qq+UPad2cGNwIuxt4USbz77eLzfy90vuxycnbgjHCXjppMt1IxdsAEPqrpAcO92o7kNh
70V7PnwTXzmcNXfzYbTHT1Yv1GS/X40/3PdBaPWoRpF16tzBXdx5sWUYg4fMvbFO+oWy6d0n2Yf5
T8fWbzZQvh3hkxX6s69gfNj3BCQfajFW3Uk4lDYARggvXzRfco1D/3XaVl5+YWxAJX0D6+ZMm/Qy
dJOvnzwnv956/35OjPXtePecpNALYCHyaDb+5Nc2WUtrVbdLndthN+128Vq0nMi+eABt6uZ+tTGu
kNC6vUc2ox09/zUo/5cl7feD2T9elf963T8KMUzBYjZUsKTUnrrRYUe6k7/4ywUgV/st3AV+6pg7
+I12eTE5xp1nUh0UXrdJ/XPMSB9LkPf9Cv0PjO7XP/H/YyYpHABep7+7t/86k9TL/sMtG8yl/xzN
r3/h3WieBFHsm4rKUUNeA3HeeVGkNaEG7IfOLrA6SH+M5pnnrxgGpvbfx+/rAvVjNG/+gdyHNBcN
uyC4HlSp/wZnDo/rTy8ypxOTv4NwSMSLYiAQ+LBD1GEwaQLtp0syh+/H1V02MCUXUKbaRtI2V8Ky
etDQsj1qKtEnlpbVTHUFg24JiX6tMBR7jsM942wkVCLmNuAqBvN2kykEQ2p/UQnPy9dUcTSLjdOp
fQnCwCKyZXXNJdjnSGOHgD2ZEUBI487CYofoq/D1hWmOgf0OqUq4bTDkdfH0EIzAGYekOjflmq8h
xNZWEsO3AjvfpIgHIe9PpciJAHKohJk0kfxZw0DBnOoiG+PNvPoDS4yCcHmegk7ed3rVkvZO/s8Q
Zn4IJcDpR9xl+qS96lC1t4z+mM1O2uxb5fRVL/WvkCoSl8A4QnOwLlqT8ljIZbEnMqa0GYW8yEN0
Ha1+R77mm1XklymtcIpXwxEgFpT3E8BMHCvSJpWgt2mg2pCt+2FJTlYAQ2bR8q96JnnTinUrs2qj
AnozmvFmpPuzBZGNkX7QiHYfl8VNYkH3emG6NKJRsWPgcTEQuWGlyQEV/C4cKGmjjqT2AZ1jIL1T
9O6ZLHPCnBV4Cj2AumUl1ZniTCQA3birqYXzXHXTQroZijXrIhKqb0sfMTCHeQRgoFfh0eIhUZds
2uQx5Ks6TqxdVc/RtZLKdyR94UWcAc/KZmQvYao8LaJh05O3rP6217Pw1JFms1/EvCGZWki3RC94
I9J9CeIPXVcTIzLoJzwj8f2KhKLdTN2qCGBoyE1C9qBXk6uVHWW/UF6FSRDYeguDVBdvDQEX8Jjg
4O3RLWf6Xu0LLjHs8yCZHiot/mIo+UUg0HEspJoNnb68bQj9i5q3gH9U5QkjzDPqVwasobGZLZWD
XpRsZTE810bZulO/MNJWCBtYTH8uUndiuFBk6YUeGEepFxATz/M5X4pv4uqaGXpTt2k2k/+Whhrt
1+SNpvGjJpNDF003WdRdzINwC2fsuUPNxqiDdkovHBiMn0QluJuK5DCPxL7UgXwf5lBfoya4DSbj
0CVcoUoOVV+pkJWmpnUqZPUpMMY7nageOwvJtpkEFK9GLL62qnUzNpxDq8aXg9V/bQyrseRGmfkt
eRBfN620I13Z4aS3D3E+9zptVUF7DefuflUTh4VGtqV2GcXLVmlypotYVdN2ftR609wkIeiQNKaV
wjIHtrEWANDPBPAF04CnLG4emzbfKxYdbEXeYRG67wvCIgcmkE6tjDsCG2KHB5bYTCG7IVvytVJy
guhSpg6Lbm7WKHKPtDjTI5qo9cDy5z5Z3ttFBUlGIlWyK4zKmVq8sTLhmeuKyyqF0yZVh6uSmQuC
g070ewxMoYgrWAKbK3IJWJOulVk/Jr31hvuPZ8vQ72RdPSpqnTACJwtxmCuQ7esS10QLkEjxLFuF
nxkRULCqRdFCDIoladk2h6QlZR1Dj7zTHZ3nrV/CsySqr0YOuTiUzSOhzMEmDIkUQV5/IxlKQ4hn
KjmzbLzKMYMnqchATOqVNytMVvIYUgsrqZ+St9d0S3BO6oVefyPdFvGA+gRQ9FsVCYSRDQMdf9aI
OH4Yo+GysaJtrpnf8JmNXgcsjiBLkWDRupKcuNVglyBrzx9yEltD3F7hbHf6UHpkMxw0s7m1VrNr
s9pel6V8LpfYAtI2KERPL4/BgO3VGNpXvRNqZ+mbKyRNpwg/rYKvdsJfK61GW6Vo9tkie2moZl7f
adf4ao+9JZAasNp0E/y6Jr5dUYC+36xWXgKfRIS2/a2CyzcOiFzA9Zus9t+UiSbfZnm0VmdwPd/n
2niNEuaK54GLgIc4x0u8aOCpujUSdRCJzVoNx+tou8CBLOntXsSRrIrTXSHjAMSprONYriy1IFmA
t3o1MxuZjmp6NThbOpD6eDU9FyLTE9ZYd4yrbYEvulkN0gZO6TDRIYKu5mlttVHjpaZ6qpLdslqs
hXTcFd9N16v9mthceUegSuxaqzm7XG3aqdiAF1+t2+GEin81c/9PVV7vC6///F8Y9kyF8q/LM5+E
zOJXJRn/6u+SzPyDITvaHIqyv3SPf5dkYDCZRFB16T9wVj9KMuMP8FbA6Wn04675Xq39KMm0P/Dx
cJAHHPWne/jfKckM4+ez1dowlrHzgxwxJKST2grp+ulUkROBO3WBcYLcvQ+7eiiO3SjPzLHyoapK
t4j7ZWOOLVqnKA+x+loRDN7SKshQ7ZLoaVLacx7VsxtxNiGqqN8Q3eAik8c4IBYyLsNMt0srecWZ
HfOiarE3C0zoikU7YYTusDEIT+WY3xDq/DD2pZRed6Qqnwnc3VrjBCUkYEjPmxyKsXBKg8KEQjTU
BAgL4dNcddFVEESxfhVls3GlFSYjZBW6u2LrjDdLLL+5WNzqhqD4AevU6LWTFHSXtdBG8X3PRjxA
uBgfUtmKiLBOy20cJcnMFtwcx0Tdj712o4XqTCppcS8u2W2vEq5URtWbvFI49agnVWSJnWYVvEnK
a1QgS2gE9aT3MmDN6b4HHuUoFITCILhCzhIQrvBJtUIgY86IKdvCUJnZRg+wDk1sHCk4QO2MO/KS
8CHA+EL8RbaMW6yOX0U1ib0256JoZndtoDDjfUZrOfL3bRn93POshOyTY7wVFywU9eqEyTPzts4k
2S+LFMu3smqYEnkbQTEuhqFx8zHeKRFaTi0nObtojAWKRVp4DDkzFo55r1TydSD3uQOuAjSnKm/L
FB+IbDLYtOZJ3mFJxsPTi1/E0nLNvs0dIdAY3BqYiwvrhYHtQbeMQ6vA7I9NEp2UxSLSj2ArK2r9
KRC+aNbiZ+K0A5V8Chu9YhTauFVDwBKdUaYTQfWtKzFO6PGY4gDP38bImogoKR55pDtks4OxRdaY
+jxe16pUd2gVy1OHz5u6MbjKLFxOIcyKMJJugoogzp4d1RanRnPI3G4dnjc30srHPpHRHYTdvuMO
dm3va3UUbyYNLZYu1qUHS2qXD/PlVGsPUtudrC6+TbqShEqxvc/D6CZSo9itxB4145qHqXeKPUTN
zWwEt0QMXy81s28UCZU7SyMG5DieXakJrnpSEOcsEMi3Ed6aWohcUa3SzayxSS2SlcGiJcsm1Fry
bkQm3Oq87MvKuEzmkpmyqY1osArFyQeYWrU6XsBG/ZJl8T7uTdjYbXzUE0RJsWgc5pJoYZGITjjY
NSBnNXchWb00YjX6s9VdWo36OAiR6PCqD3Yy57oT9cq3fMb8mVblTb9UTodyduHKIIKZFlstSsiK
Kfb2cSm2gsrTGawlXZvFX7NZXtgcjUdt1M4yFqPdUKZo1xp5xzERrZhpoooSoHeCv3DEXFX9sU4u
41AHFJ7e5NlwCiOe7TEyIAglqRfn1pUcFgg1Ms4TYzViHGum2a4L/XaUCBUSG/FbIKvPopK9QVfY
1aPCPh92nCcE+avaCvcwyywnz/P7fOxkT7b68zx30ibW86dyVg+aUM4aQZcz47q9oU469mCzMiAd
iMj7ovoVJBiEGg151wro6bX6qAtTB5yA09WwvDaK/FSblrK1RHIJKsu4WvqhcM0uApLaEDGuk6Zg
W9H8BuOj3YlGR/IaMiWzErPtLJaz3RuYrQmPf0ZWeIa8ZyIGNiG79MHoNj2qtqSqSGyNReYegEEw
XX0dltlyC43KMpEHdwhKY5umBSQHQSUxEsmenYuc2EZ1fMP5RhexhSsuBqN2iieNvlFbo7kR5MhV
5PpmLChgZhNar7TAFIiLifsUQ7VRZjfWktmdk6g65sa4m/PgGXUA3TDodZ5skFs+KTytVZO86UbB
KSxIFk8rAj9UlRlZDG7lslL9FLQvQhI9802Tgx/r4bIpkvq5MTW/aARSoINNScl+HQmxDmAHENzc
jqKNw8/yJ6Fg0ASh6lony9U3amlXh8pFYsTwiPPE3HBOhrxEJqETDPO8j/r+SwpwyI+qTtnLlQK3
rQL8mk5hsY0K4HfLmHNvxlnwNcjLtkBxb4dw3WytG3ZKTiiIJJnoJ7XhEGbWPrCWgxAvOXoVzjdB
ulw3OWPDyDibOPEvlpaTHsi61Vw5X6Fjvi1kfIGrAN+vFOqwPhIaRCLdG3IsKHO0XjeTib90lhDE
ANoBPJFFV12MHTYgbTAt42FTVcuBLJkLUE0ueRhXA+lPnpLUIrEqHLdjozlZWvJmgqbO2oCGhGFx
TNUFDc6VBhfHnD3ykHCFLUQoiuJ4D9bhpUyFq6yJzylcJkeURd1LGkm3G7X6mhHVEeYiBnNFJWgm
VvmTZNi7Y4b4Peb0NfTxKbB6sMmSOLhj3QROGfw/9s5rK5Yj3bpPlBrpM+K2vKEo/AZucgAb0nsb
+fT/TNRIW6b7l87pi9Nj9K0QFJuqjPjMWnMlxxxVyy4e4+ChClPwSv4TCmdaFx5dL2XxkLVPjqXB
128vy0+zYpu9+Y4p14bEOSiz9IGkUqy4ES4HU9OuJ73UV1oanQzStuBwJMcU/tHS5k51tJ4DzDDe
R9HsvM6/EL7KtnqkDiSsyFWVaIRN5t8yVV+OuQmMWmVktsb2kjf0UDXG0QFJqJXiYxhpH10mKHml
7fwmfsebu2m6ot02XrluSr46FNqDHusXU3DM0DXVnQdFOJnheq9hw+HbE8QW196+ixDDO60Ilo1b
H6ZmoHNLeHsyOvWY0c848XlGckJbbNrvFhEJC1zKt1Ec8D9zgPcZeeR1aixs6PXwuUW0pXJ7pgLb
R2Oxqah0FlbrHianQKhcRme3Yqgqh2+GxQ8vR+KE/fiYMLXaWln7ZgcwtzyfdBaIvrqXQTXOHwyL
C0/mwdZB+71SgjzMJLqvh4F2tIGur5XVVRnJC7JnMTm71U2nwX30CO7EtJttyX6nLzXjNTpG0KEW
6vqGDIRN5PPo5BP+W6tmJNFX/NMECrSQupOY4YhwNGuuHuq9Z4WHQcUfiOmjTTCIszLibTFtGwkc
TWxrla+M8UJoyV2Y9jiybTtb4lLfAjYEiAaCo7CmV0sMG3cIXoUbXZAoTVSMr4e8WdULzK5+MZpD
7HAR9/WRx+cuUIzV6N8ejBKYJQQb0dRrsbOCdGcWhF63ycoXVnmdu3UGOSuPXDDMtmNo2CuKQl+C
SmvqA5bcGRETffJiik92jOLdyXUn0lb2jJYJPikzQiaHAtjGYpwRNPSc20myr6yh02heTOLTDKyJ
7GJlI5Bd+X3xiOiMoErREwCuAmOdQryx6vwWfsW4aSz7o4KJgwAeTSeFl+ZHqBgcuQ89+4V80asx
kgTVeMQbhVGbLam7miWKQmLuBlCQYGZGrpPZf6FzsTVcabx/83tHbd5JkoZkeFHVaHNTgK5j6132
bXTGHXMxRxYiyYxfDKlWxPxeGJOiuinKV+4WBQgrXSa5uG+iyD60nf4++ejPp1hHTgtY0u67K8j3
IUUekT60EgvqmmHl+vn3esh2FoTUpUP80Aaky4VdpTcm8qi8BVIPKWLYce5eSHxSnnK47Jym2XU9
T3Rs8oKw55aJnTbQJ3BVN5O7mMp4W5pUu9JInpMqWtrhOcFPEqO8HEZr79QgtqRAQEymHCPK9pw5
8fdSIfYNDFD/KrosAv3SIc0izftL2zy7jOq0qVrVtcYOUC++JUOwb8PoqfXa+1IWuHjRhIl6O7re
LPhaUvdeqsp8jkpjxx6UkzEL9pPypn3cpc/8gvfh3Np71ILrsC0J68u0Z5ud/Lds6hHYV/FxJHN0
1fRxQTjedBp6BWrdNR7LXsdWnFwPQ/6SlAKYW4NrRMmn1CkuIiv8lg3MQP9dDf3/3VXKbNT75736
L3k9JJC9Fun39o+blPkHfLXtJqZE2nLLtdinYIWhbf6lbbd/YjRlkMqjW3PiG/uXf7TtYDFmeCeJ
cxaLHTKk2H/8o223ScPQYR3jcPxq9v/GJuX3exRbzOZGCUFbwu4A2Pnbpr3t1MCA2BmusM0EhISq
m6LZ/vDXufp5j/cjMfpn7MYP+z0WPzr4bRs6k4OMn3/vb18EiJZFEnlTXlkDcIoGJ12DHT20zNy6
CvW6IkS4cMfkeioiV1yGYeg91oFnJtdCd9Qy1LPRJEGyJOm92FdIiCM/XbuQcqfIoMoFIaVUeuU7
2iottL1q5E6rittWx5mvQmhflXczRs3OVxV4HOSzOWymlWNXB60krEYkr6lKXjTfX3VluY/T+JGF
AXdUFJ6DtlkLM917ITYYY6w/uLC3Jf6XVUrs8Taq7G6pYYxHJTnsqp6Ds/NgjIldZTVL/nmPgavv
dYnvyjLKA9FA72kjQ6bLNpuG7N3HichCqgTDpCO1rJp6Q/zZhd96w0rk84RxMBGDe/rrbFSzbKyW
hp3fAe4C1Wze1yMRwWbUwgpC7RGq4a1x7YOy63xTxeUpD8cBy5lnkYfqO0u/qAEK5QzWbWCcgbJO
WcDuq22s63QgAm7qu0cttsj19Ma1Y3oZFpP2A8YgLUVkAsiuCrAq9tEbapuxKnbENKninatjNaAg
DpZj3OXrqDQZU/cCB145fTOg/Fi8nYui026cQWNmb6Z3QyYJFRDJk1bVNgy4ci8Jn71M28FYslc5
NBqiat2ocH+J4CJo35BqbGRHwZMN5tIeK8qONP/mT7299CtBFxUYh1p09artvS3GvjcUuYgHVH3s
PPtNNFm4EnH0ITLuhMAWE1p3ecfS7MOOhiVeyveoovM1GuTXJjRSsF3LIsiuerN5NeJYX9azXwuO
yh7PB21u324iMW/cLPAIALiHta3p2Lvy7opJ8X0fdM1SS1tS1cJ6HsjcBmNbrQoEYJC02QfYaLV7
YrSnOeJZivjWJO+NGTv3vOy/JTrXUKTcjziWz46RzCEJAB2sMSHdAAfDKYeIt4RSXi45V+4DVd3m
tgN7KcHZm3reKixCANLj+NzH6WwlqEi3GPh7eN70lLg+cA8d/lycv9vG4G76Wr9PgpTLl9yFUSPS
tA9amjLto9XEkyYUQ+IkXKIsYdQ2+mwv1h6hlOa6tVSyLz+xEINd48or+WtI+DLVnRMMmC1cvAil
TJP7BNbh3pnG+Mq1hruqAnA2le8ZG9MoKVOiS8rvRlsxa6HzYuZOi5gMRErWUfzNtttV6vopZfBD
LtfjVoUqvsjm6C9Nu6m7WM5x5XhjV34Gl7xHlq95Y7GqZVksmxS7LH3KMrBKkBvWySYOc+nRF2oe
mWA8m3NCxyUwvcdQOO+RPlYLjrWKUY+xybA19KE6WsJ+QbMBhSwi/qR7CjoI9Jw5N3VurOPSuCkM
az8Y2o1S3srVggczwWwrHMaV+lEOwRWchiuVhaepaTcTUxvIm9+pQLD8efEqwaC9zoDdJRXI4KYG
WkrrWpf9pUe+X10l2GvYlzL6Gxh9UnvGQmMAoZ1VW8Pkk8naN5v3Bp6qWY3ftObd6fgk9q63sezY
y5Y+gYIsMP2BZMW4U5q21nvlPXhBP26rqjaXcQCLzxFlW14mlvWYFTa5IBNQ0j4PyBGOObcWSWGX
apE5k7VtVVEvRcoaVVjZQ4IFq26Hx2FIH5pKe2Izal3rnTNdceFVmzqtXirT2Ie19X30xbma0Kml
MljlGa2ZQyO7iqoeiU0Msj+bMnlnZ0Kdgiy8jYLglRGathwS3LU11c+6zFpoIDnDE7sNn3KTd3EI
75CRxitpaYeubx47o5jona1s48+El5Lfb9FH3D1LmXAGkO/mrpqunM4acUp3bswcQik5rIMamCtP
efPNl023slsv2/E0i1WVEgHg9jgxjXbY0m4VSysr1HbI9ZDIeDJPg5YxFH2lsxuIoN41SX/lJO1N
Y4dzxbWN+znlXvMhCTMYnVzjjqXxY22Mt4FTu3voS4/F7JTHrOJf/utrl+LhR+HpfOkCvYHW6QoT
P5T+u5vdTbvSFGbVXRWCABPjHIs7l9/aIWMbI8G/fq3fVhGUKfNiwTUsA/iXx0bhd4IiiPQErg3N
cCX8tZ88VArH3cP/7iXmX+EHzRKRtmk6dOlwVfJggrQGJflsl7f/gxeRElQLtZVhzlXXjy/ShER4
x/kwXFn1XYXYSAO0u//XL/HHt4U/1Q8v8TtZKCkDIoBXMFzZ4jarNlNG0O5wzr2XWP1/XmmWwPy2
6vrtK82/yQ9/sTTsncwlneiqQuZm5MxfzUOX0Q2s++wwoTv71/+w+Rf//cvBdnNsS7csUpJ/p8hp
gxjsQGsMV2n1aMymIvcuCI8qe/x8mX+DNOs/fEFoILH6C03HPivf6+gl/ZOmgx/w1XQYdBYzU4kN
PqXaDEL5pekwwAKD7/M4FT7T7/iur10hnQrkFOJ0iLOjHZktz1+7QvMnF+2WAN9Hu8Ak8W+RVdg9
/ubDggfVcmwwHgzOTVzUBI/+9rPpheBYR61Sp9Fif7UxCC/xTqUH7O5DB+vhUHNBceeat9g1TDtQ
FwkBGv4Yc5S5dnLjm0wABAKBXW30nlpYrvkW6IwrCum/QNa7Tfwku1IJdLVqcs2N5QC7paNqToXr
foSl4OrFo89j0UQbBrvW2gOJum6J0yEsy3AuJrrwvZanLXU/E3C1HHEaLmOiZy5L3WAZw2CLrUxy
ZOmer8jOUJvaoaxtK5yjKdS6JZA89kzsRC/tXh0SJ7oQResf4Skkm0STzAuQewiKbDcljAyh1ig9
5uYzG7ei2CMk5DNNlKuxEtgndVt7SjnGS3fMDySZ3Bku7AA/Y/rDlKlcBlJpl3Xsvg05N35VeMa2
cOKPKY6fARYj+LB7I8NhSoR0acfqngkq6OU6RCFsFfsujN/bYDKfqH/ZLrHv3PRuWq28JkWpogoG
IoHM5RHli7F2B1072OWoXzggR7YRAD3yPTv3ova8awEi5ZaWaD+E6k4rgaQXdm5vdVFcey6jcKB/
BAoS5ESdSjs3JUz1bH0wFqNKtAsjhJrgqTp0sGIGrPF0Kzm2vjLabZBpinp5qmu3Poe8d73JZvek
sOWyNAxITMHQwk+SSyE1cpaFrNhlmp7m7GHamnca5IRob/YJKNw+l+cIhUy1KCbBuA0gvOWfJZM3
Jl+J/OgNmVyYLCExkk63ds+FvfrvMfaJG53Fu3/hGLt7D1+ylz8eYvO3fx1iJmxQgKAkh8z5nZ/S
hV8mJxZKU4gDFM/6P863r8mJ/hMnCynHKL5+Hrj8eojJn5ix2B66URMMr4089e9MTozfXuUIHkgd
c4z5tXChkz82CyJ+uGDRPFl6yq9x7mWYNKvYAlDusLXIc8rRNCD5iZBPtguk5PTdfhxQZRVk2q+N
Xh5awsyXJb7NTRBD49CKatvFCOZyAyVQ4ZLA2JVvgTkahBe0pP5swaV32srSuocGVMgNUXbD1q1d
/yK0lbuPR5qPCphTiVX8BFKrWziBiRnNM15bv/nQ/a7dlUN+WRNhH5E6ydYnGrsbZYzXXh+71xWc
9WWQDGKlpzkjZuFyjEmmBUHHqaZw4LFgytZiTCCkd9rOiJk+xlDBF6KLvhu5OaIr7f1o0eZxv3Mb
IJdBOcGqtvD+orUwzr4Zo3fv8jnHXOY7DzzMouTlpyjNF7WnG7wKscaTJefoVFFR1Q+n1PPPcREe
WLzs2hqUaJubJIFa1dENfJBzbY86EWBW4TCpdgvOJx3vgMtqjkRAtZ1AcLJkYUQPy3NZh66/1oV2
X07NrazrXQnEeu+wBauHBOCmK79ZlfdW1MVlBahjAUPxwKV45bT+XdAzxBmGmnws+VGXxAx38uQ0
Q7MyGw3wZ844CAbFYzykBzePnsa4bZZKah9jIJgUtHITpf2zk8v3MveqPVOBaBnnsK8JFgQElFpc
dVAjL6KIG4i+JXomh/FKqPghYd+yIAUZ8GnujGtN0LAAHwCh3DTf3J7wQXdcFsTIolmLOrbxUUjo
RfVQWBIFsw4VdRRusGr08a7grU9TE8Ff1JORkk8A4hHNkMVod1dlw72hE9+9rqfuDdH0Yx8m35kR
2RvfMr6XfsLmcwzbQ45K19cEAWu512/c0fLJmCUkJ+Hjuu10tDnoqTNUAgZIqNK29lon5TYQhAZY
ouBBKMSHigndSppXaw6doj311kZMumXnNh9DXtKl6YpOXXCNlnmSbqLJQyHjo+2uJcCLiGfEH+HH
9wXaRp84bytFIDGofhv0rlyFYjxbvb8znfwqHPOzm4i9pkWbztyjfvCHk+Rnwl67LasB2RBynyRz
v3kSzXPOWnOw2E0jvEXpDKWU8VCTt4/gLogBG1tkHXEp142HBqWQRN+1cb4pkvJkmt220bL7JujI
YAku2qzMdoaJM9xUV2ba7+wOzYk3SD7t43jOUnM6CD19Cpvo0nFL9or64O3jyrswZXYZteU21Szi
TRqG90WSIBxxoYIgPKFhDoxo38XRhdlFF0ZWPqUGowukVawfDf/e9pxvXd2czSyxt2wCJGpfg/V3
aMMny1sFnhR3oNZxp9pksksXRbymspvB9b9NPr8f0CwCcpAnTS3fF2QpVtU2Jbch2ftT/V7llr02
pzmbFKSuHiDbCBUmUcmfddm3nwKk63awAKNGnVr3cWNDf6jdHdvzDwzHRzuKLqJ5LAjL3OJjXa30
LHqaXOvOZ/UKNQxcRgUtgZga48YR8gnXEEHFVn5tagyyjEl8uLLbthNRD1VOz2k2/XUddmDWzbs+
bE46mKqFR+BeVFO5+F52ncKhRf2tHcIhvY+cloKqHQ+uQuscpMhIRxMFDy3m0s2HhBEdM6RJZ2iT
Ixoh7GFcaXX6QZN+V5UBtBWDuSxxsoyVwvh7XTrnoCBORhfDtAInaC5zHBDHIdCmXSuQFgwIGqZq
ulZQgNda35bLRAa3IyPsztR2klx3eHf9xi7rA0sBpJcGOcsVWL6tNbiI1lyy7wjVe8zqORRIf6ma
ETWRCepHDD0KsezedPqLiVCCRW5Ga7u3NwQVQYcRx6isd3Hjw57jQ0T8lcvkxda3yjPeJqM8OQFn
9iittUvYamXU720cndqxeoEgs/YAPS0a1S0xYTwVDFr9hMHuOMxNvr7zWk5TwurtOSMdUC8nd8kI
LxUrJyHBYlTeXdlFp8l23pOWgzKy3Dl9xtvxcJNAA8XPsIZ6MTYS3e+EEN4eHlI+tyx5GbExZmbE
QjoXD9p1Dexk4XpTsSW0/oW7s14XUdhBLVCkEliWexZCE4z1HHNbN/VjlBi3DHDS2TNxb3jtUww9
CiG0GBdNy0cj9cAb+CM2D1O8WjAHtrWsiaoqXuu4Yvssiu+ND9pGxuwF89CaLsktcFY+G23uvNOA
h2AxzLJFmduLFjiLVWrFWmbdd6aezK696rsV5ujuJKEkRAct295HeeB2DHoUxvVC9iuGwjYwv46S
tuUEI34W067OU1bC9wYGsSm6YKdQR9GavFpMfhfMz29VMYXbSIuf6Q7enMFbEpSNcdpPttQRvAd+
f2s4qKURNnqHSUNe0BJWxiEOv43SiHSuiZgEzWjOEuBYoLIPmAXFUmTDeURJt2i04EK3Ilhubfkh
NNJ92es8IVsw1loFCyjI3ZckZK5aAn/Uq86/rolP4DRvpH+y+3Absu7WgIqFYq+3iawuixRqHWKQ
SA8C+HZVP63B+lThz47O/84F5oXhXyio97n6E/3w/M1f5bThkCFESYxd6oub+lVOG6QCEjlkguKH
5oWp99eZgMcgwaZedqGTUXrNk4SvmYDzE4Q07yt9EIbz3ymnjU/D/68DJMIBiDay5t+BQHMLeu/v
5lUWaBNwhF6LU9oNN0WRRquxyFjXXCuzn5BsRDL0J3dth70eIkXvk2Ht4Hc1kKabKgd+oiIrPVZz
XOgZSxA0MYrTwakxxYzwkJhgp6G1BZ2PUnlh22nUoAvz495cab4s8uepdjv7yus6WecrTy97ErMc
Z2jgO8H9aV68iUT3CcsBMfBIOca6l+CPkGVu46aUp7DSQ0iaNSmrw2DfVwWnPPwpjDFFAoItidne
VUN/JJdNbRD9AmBJk+7GcJPhVc8dp8R5FQavvV2Pm7TRs4vITQquosK/jDXH3uDCCRGnGlCWxWCp
a0JkCPjriuGU5N5waWA6gJFafhQD0mWEK2b9IqIIXGGLrmUZoo7ah07c3plDhQ4mzJ03MaVy24fp
wJKN4AEME9QctnUjJp38sVkBnHb6aKNPa1AKty2yUlfHNYpBbZMQtcCFZSDHaBqcWWw4rVfepnZX
+Tq2AKMkaUDK0Hy2pnK6CqcpJpze7MzXhDXMsaNi3Kskbh4tp7GAGZqo1MB8rCaRdeeuS974k+b7
SrrGrdFEerqMSZg42QMSPtCZ4SVMuIDzy6F4IjtqKyUxUfEkxeUEEAsea87QX2VYra1AvSF/SS9w
ajQPXVZ0JJvHOR7AyARxa6RUVmGTIFqloaCOcq/ZuWkbpgrNlRVZ5QpFSnFE1NYfmyY5UKBMkOc1
sakcNX4MdpjuRJkFh7GISGkiUkg7Rb6rEwXRkKhQKBSybctwpFIi35YBqlkbC9xidGqGpJMp/UNa
a+4Dm8NvWADNC1MT5Zlf399oZMCcCFae01lq/aymEHq+GOJ9EKGHKjCWsdEq1U1Yi2HVN0O1VlE3
roN+8jcNPsXgvzML43NmMRuS//kRexP170ibv7//cVoxf+MvxysjV6aa5mcKOQuXHyauHixrdwZJ
f8a6YX39ZeJq/6QzkmC8AV+S2esMmvo6XRnGkuyK2wPMDyjrvzeskH8cuDIPdoXAoOGaFES/k2CE
JtkSfWeZp7qoqtK70NLPaZpkJJrBmbXjBKWWaSUremSihaIBw6ChlOEtVBs5ZwFk4twVTNQIadP2
jpNbpy7R1Gowm/xIwHF2iyNvOMOZLS/QVxRvbUAYqZkNyS1r5vpIaKHMl+1ImJkZ2bvCFv7GiGtq
Xa9qi2eo8rpcaD3KvXqAEizTbWIapE3R8772vWt8aFY03ZiNG3XowBDuYvlFEickii2XxbQZmwtn
BlBGkE+usqzz78xYhjcdxrzwVo+dJIA24BnVtJ/KkGSHGsk4GkNugwDFgt3pfWcuekDkCADUIIDY
IWmhq6hJrgDjVZv2isun1y9d7FLrzImq+F6LJ4dZa594Hso+twIdWVsqWzi9qp4Tpsp7u2e/M3G4
rbg8FnWpDgJC4MrIHZT5fS2dY1/CyfPjyAW1GypqR6k3wUKreheVeJRb1lYhTNgDkfQINGXyMxkN
JgWzdwwkBfEbgObwULq+NZ2cuGr3sMai/maKBRbi2kFHCcnW9oZTJlOVa9vPB+HfUHT9HxZ38dH/
5w/7L+Ku43ud//GBN/jmXx54HmsYXEDDPKSnn0XTVz1l6kQv2gaDSJ39xudk8GvHQtH0qbaCnsLK
1JsFV19PvE09hY1L9xzn52f+79RT3vxE/1hO8aQL4i0kCwSSJ/iw/nY66RlloBvhBCez8TAlY2bF
PgvXe+VVttwSxvXCkG7YVKVDkouaYls7ZI3o0P97kRk/RSY+gXPoF121t6OmzNAPxIO+xlzbecTl
1vVwBcbisrSS6A5hL/5E+iQPh+REYjuJN89W6lC65SqAJ+xTpQUsukFc53NhZ9pTuGk/76hqhqfu
bV/L8MoarZc2T2DnY7QOI0ZMNMIWU6Go2Zj5GBmHLCPt+DaYWBYgv/JjdCjkz5DkG+iriGcZgWjr
rshSjrdaoqr1UPnGtk9cYz2M1bTVSTV+mPqwM8A5K3daW00HjlOZchrXaYdKmS2Ur6GhtUsNU0U5
uadONWGxKs3CvY1cl+xGZP2olnPVbI0yTNpb4DE4wl27TM+cAqG5rRhTrVVAFO402DJelLhlYzrd
sPD2OKgsff3vegz/w3eiDlflX3hWn7rXP1sl8M1fzyqrBC6QORdshjqzV/v1duZLPKJIkGhw5ieS
junrWZV8RUJm9n5+in98VsVsuCRghC+RuPI3b2c0nb9/WNlHeIZr2ySh8fAb83L9h1VC2rLuHItR
P7cxIm6ZO1s3sbSjCXQehZhRXjuQGXYdAUyI7AHmFwW80BZj0axcWQw54z+qT2K8md0ubJEgzx7c
bQ8gIhVjeaonDW8Bo/FWvJGehNkjQxjtdj5xjsNe+mITefgjyijYdg1TAFTZjF9pYoa83tlRmN9V
Aeq1oCzfXCRWRVfeo/MuicYkRMsNqrdUcXMXDaZEep8dBoIRh0gR5te6JbZGbNtXmuUefXeQ63Yg
XykbNFiCxkxNTqsr5bcvXhe8+RlifFo5HXliWe1FjrqrKrSblgTQK9nWBjuIUC4gF89UB6RufuTa
S6ZsYBF8xajXJntGWt+byL0OnepStCST8Yg+RqZ11xaSALHYfCdJbVz7U3DPGnAdVc2+c7WQ9DRj
51fyu45lEdJtyPkwXud6PCO5n7I8ONJc3Bkxsn9nwtxdm/pd6VF0TLwJLY6gZerjjzBb50V1dIyc
uY9i6Eh6gOy6qBys2LZ+xWTLIDciuo7kLKjPIFUflCK/QeXlh16XB93NL8UUHXtVBHsrbm46FxTC
6OABmOoMfyHL4piRPcNNDvKJILdK0zqE6HTwNbamtEl2oiAoNMobcZZmqbZpLihs3Hhv5JVk20s2
W9VjgZq84FrrEnyBkfMm2YteVsr8SAtHMaxxCzKlYlNepmENBDBH3u4nEKhbByJbnoLBCIhID7O6
XOqpOA9awRwdnMwiUAVRHLaFor44dLV5ico/Ryk51Ys2sjFAdQXpdQ4E3RH1Zm90z24ZPiRJ0i3r
jtG+GearaY5tbwL+uCnpYkzApwcvUguwI69Z4G87REgHO9euDVF+2CGc+ZC9Q4VoM+d0X+ptbe3Z
Xe9LNzuMrQMI2MIZkpxti7xy9GfuQi/ib/rg3zsZkaAMqcjZ0Lz7ugV10RjmhV+agMZF1y0YwSL2
0/WbTLUHHRBLlcQ3ESpFLMFP5G68OhJJmJEYEHWb/lLU2DBql6FmoecnR/DHdbhW2e6ANdJhP+CS
SFZ54F3olfGGQwujcKu+lZYJhM6AytjgNi5azAIzFz/BtLXsc/1ySIfXkL81mmfCAHMXgkVhlo9W
Xp4kVAlXwCUILeampv/W6sPGqxE6a+lQLYl4K5ZJ3AHaTyrWUaQ45Mr53g7OaahIQ89EfFH5yACj
MkuWZK+ALW+eRVwdsyy/N5LpwSD0gd+PIaXtLOQgT/WYp7j7ulUw9ciLjQS67Yipa9JvGmk9q1aW
54CmeBmN2njgDtb2RcbeLO+jiz6pboHNvodlciPc3MFOhOJvYVv4F32PnzKx+N9l2JjJeiHxy9JS
FjbmdaxjuxKW7cI6b6aFVngJAcl8iJXA+2sG+FeLhmntUKQrP0T0OgbjdWzq+sJ3dKYcxj/Yfv+G
uvc//MI1GO/9hQv3GOVB8yfVMd/9deOS7YRFwaEKNlwMufNI8Yfq2DKY96EVdOfkt18vXPcn1uXs
7bmkIdvS9f5aHM/DRm5nz0TR5CFf+lvDxs/QgN8Wxwid6K0lQhOXDKm5eP7hvjV8qyVo0GPkPmlW
fY9nP81wB6mM4znUOrbacWNGp0Yk1mOJN6Ha6kN6rWvWUmIIzjAyjm20bD3dx6Mk3Ibw3KKGJ+f1
IHg6p6GUbRr/MFgpG5QiLabkuoBKUEInANfyPA7E/lCPXCqX5Zc9owwmb8RWXoWv4MDdhTkDD9Bp
hQula8sRFgImAj70JnvqAU5CaPiPzMdYQRR6jCk0/SQqJGkBXGHGLPROjcl6FfJT3WXRkbJ7sjXl
7hRQoIhwGmg66bDWW1JE/bwvX8lAeA7QASxbN/OXRplvmhFtfJHFuyrWdlGEOnus81fdqmNmhL5F
WEB2HwXam3kqc3UqbJBClsefJ52QOKf+nVGJ6wwQvWQpG0/XRuveDz0LaxGsbey78udcgP8+kTNX
8i88kRcvyfufPJB889cDaZqoaXRqTENQ0urz6OqXBxI1jQQOArPDQlZj86VfS2BIa6bumR5f1D8f
1q92VfyE5gUpHww4HiEmS3+nXaXW/kMJzGEg+e8kJVKr/z69EDEcjVGVO+ekT4OjFmSVfzuOLOR3
rhkl28GmqFAeSKcKcT28nHRv17g25lShXeJjNMmUibp10JHWxanQN2On4gW7cMw3uGGFMws4YhQm
CQlZmoydkzcxBxpTfeNm3PwouTdyEu9O3KMaV6BHfN+esqUbBsd8HI5xnm400ROzZcbdTds3aMlG
9zkdWZg3cUgOF+7TVC92E26DwQxuKiPvVrqrplVjYo3Is3rXTsalbOQ7JJLryBLnqRJ7xNu3wCy2
WtE8aoEoj7lfHKuQuN3QjvbkqD2mbbAUWnibmc59ELHDRFFJsE9ilYzGgydG03tLlOtY958smb6Q
c4KWpq8ATrf9QMIuRTDZI0DisZnUNRWsV8hjZeE3SWrzmDTpZYVRFGducKoy+6UO23MLCazlD01J
WSynYhiACZeHzEs8Lt5250h0QqwbpWF6VJJsCROcpl5pGSvLU4fJ1x5FHV6rwSa8uI33XZAjFvCa
ieOA81DMQAPDhwxDU8M64ilhSMDQnTAWq542gUpJvS3DtyZjtapKw1nlhtpCzTtAhrW2mTAv89I2
V0Obgq+u64fSD+21VX90rtJ3buLKNWpAFJaU3YxuPrSxwcgp5blKqZUJdSL41avuRC2gqRCzAenu
OiWtVvZ1j06yWMZt6S2dIKeS0AP1rHKkGoH93WNVMQdPSQh305NNvQ7R5XnUp+sKPwEqwaehxORf
t+EHgcwANYYEAlUTX2ae2iXNKLHEG3B5u+F9FETVkSGG4LAMNrHZvakQdzRrsY3XJ2+KyU6BE3zm
nkVu89qjvL5gGYUAMuvGYNvisktXg6PsLf9+6CYIudDHOhE1dJ/VCj658P4fe+e1HDeSZuFX2RfA
BJDwl4vyjkUjkqJuEKREwSU8Eu7p94N6u6Xu0UxPR8zFbsTczChaoi1U5m/O+Q6ck5zTYI2CDu9M
TWWEoILf+FxgkU9CUjiLLtn6GlZ3qnuCvbhP4v3U69eZN8Pd5KXuLtM8oFVsbFj7i6NppuYKM3hg
1nzMnFTaNY3QQ7ijXm5MnragsWtCZDJj0jeWmYwHjER2QBJVcvS8cWbsZA+s7pMOZx7cEr3vt0Rj
ffb06ApsAR+EMC6mqgu2/v7d1LrolmR6UzsVkYbGMzu96aExtOylMFJs4TVAKxNpphE21cbreCCR
fmX4n8GuW3D2xoJkHJMNXeBhtNzlgkg/t0CqYAzkCQEJIfAXNrurTZdMQKjwsUApNLHkduENEkn7
1ihtZ8CtCXqzORSOMvEuekfET/bRiFA6lFVqLPb05pNgrBZADRo2Cg1SYC03ZhG7sAtokrbkE4G9
6WZiUQzxMc3zcOu3/NuhGbxdMZMnl2UE65Q5rWWrpTojK3QIhlhe3xAp3myFp9qPd3IYbhLeUQg5
1DFFGREP/NS6BkA2Kk/GRABKTuxA6eNpTueG/ZZPrkMMh8L0FK8QpGt4A1twS9M2L4Do2wmxYwvI
BPjLyYtUhK5B3yV29sJ4eqe09mHO0F5ICTuPtMBNQcHfqibaTiqPV+AidmFV7R3Vfo3MMF7bXB5r
Ru68YbEuCRL28g95m8qzH/e3SFNILbSgsuUlbMkI1CL7yGdqINK4q5MKvfexFAaGsPzYZQObLGPc
uY718O2G/E+psEyN/qVSoW3ffzbb/mFeRvXu+w4lOsnIvOcWM8dvxQKq3OU/exgEFl3u93kZpmVq
C2ZpUFmp72GOfS/fkd7qrsNnpGKgxmcA9xekt8YyB/z9cNtmiEfuCqWJpZMeuxQTP9TvvfJHjbp8
uE5Uw+4mRgNKo+6CF4imJIZ7EJ66OSNwdCIiLHsylEG+FSP5pDtUM7EsY+/M2bnF/DVv0lF0M1zS
qighaxamY38e8QGgf62acN50UcNZx15/PzpG5H/19dzoHqa2xa3bJa4VrsNpnv21rMrBaQIUBYyP
aycSMwDWbADYMZNXhh9GRaOxyUXUzBvLNXIESJAi2C5nBqrJDBpl00eW/SgNeKtbGIsHRvCcPEjJ
kO6iIt6P5qTSr4PpjYiG2dFvoihlvQTzVt/HUGiOWujJtyQsnLUfYUkMpmrqN5pEkdAvSl1UyrCq
cg33J6KIt34JhZrnHFefPjEBs+vI2tlT/NUZNCvIC+8rJQ8jw5wwJbfi78gEJz2zV6AK3HI4xREg
Em85XaMkZ1bTEZzEKpsmwUVeKAhUhQnGXClodE2nKcKBYUyJvvcai4IkhEFgeMvyfS6jY9Vo8taa
ZBzI0fB3XlW8Z+5s70xpkq8T99auLbtko7cwd7PIBZFmK3mb6Thtax+UVtWzPqvrYYOSmlLOM99j
yAl7uiAeC+YvQR5ZkN7KyA10R3urMujAzizVimvW28VN89UdiM6pBLWSm1MBrocGuqTshLsry7w9
+iwX10KL0wvfM1rE0imP2dCvEpUyTXVtzn53mO58P7R3g1/m5G6BnoVGB12nsbxgUGQsFXPDt+mZ
H2WRCc6/NAqaxmJKsegDS3Leg64C3aHwCu6A3dV3mHsxRkRDd+cmlCbzZNQY0yeMt8gC5HbW/XHT
9oT5ttZYbUbDVTBUQFSGY5HtDYmCjhVJvv/P+flNBrAI/P/x+Xku2//67yJ6l+8/m3zwob82WgZ7
QTos+hFBx6svAQm/np3orHzUV7blsoGHtvD97DStv0FiWDb0DBCoRn5UAohvK0OOVRs+HwDtv4TO
pgP83cmJj0LXl/6PTQNnuL78/Q8nZ+q51B2Fn96ofDMjcg/jnVU///CLuf1ljvIj8QEf6U++Ct4u
cBcoIqiG+B38+FXqkP7Mnu30pivTRK5LTy/QeTeTtwpNkW1Ss0U9TZF7diOP8TCs4pWcw1NPH3Kv
V/GdTIDn2nFyHnSdJsrQ7JXhIZUk25oEoAgOvcgPqo8vSe/vK2Wc9Xm4Qyl9qefyNDbmlW3nUU8z
bMv9IjvUa3/rLsdLqAC5JML/Yoy45J2M5Mq0Y4wupfqasImEouggZW5CNOsUxRNBjVBnJ1CPznHQ
ZqSWA1aLTmvJ6vVJ6gKszK2RdQWONWE9hayZdq60zU+C2XKg4ZXcJXoWkxep6kpuCFXNCKEzMB4z
HZ4ImYZsdiCZt8N3ZhLSObUTNQ9wNuhCXhzjn6hM72kWtQNyQshdo82OvTPKAZM2pHIu3Xql7Lyb
QiiEtnb1aqFd+PzVuk1A0C7O9VIrdh5l15p9DzuCZQXcuF6yN6WVHRWCJ++Wr9ean+wpctuTmMq+
5Bo170u3scfbmKUHuN/JP/mN4x6hG0QvaFas595FWerJCYNUVyjr4CFza4j0tYd573EjOyt9aP3H
svRAaLJP3UB2tNaiGmPkoSAfWSlNh17YPXmRyt10/M7PgMra15aOe5xA2Uwjqwu/Tg4amIENO3gm
ZMDA7+ee4lef5MYvDf8eEZiBCh9eojf5CAerHHFeZq37klCFOnn2crTRvHQ9Dplk3jRYSOjIKfBH
OSZHB0b4xqV32JHPZ6wKP7Ru2rgXBKfW7c4x+/1gFUAVRtHekeZpcMPkl6SQF8hp5CY1yZ1V2gcv
VoQpOXJfJsC1I1O/bf3hoTPc/hGrvfcVvgdDgmztDKPztUzU2s7bdRbWxgddU9vI6aBzl9nG1/Jt
5lG6j7QwrVN9advunaii9ymdnhjErRuzP/oErXOAYGecd9aoXyavX5t+t0dGdGaAvo6a/k23Fb28
tpWDwf2D2kVNnwvIi1H5OdSVsR4caXKLwxDO7P7FdpI3OTvWxmmz9kgbhwBlmM8iFwczEhenUmtW
WS8VL1/bmRT3nrsJe2cLG3qv9PllDNtNlGMLqfU6MIE2gmku9ENqG+namOgKXPeWn/HehrC8HpM5
omkn8trq9eQSWw64qVDcdbJo2Up0J2wkPMyQFGU9EgcVcjd6+XTyeRPppFAKUl5HcI9eZZ6R6T9r
c7fKbPdBieiuqKszQht04/45V/1d7DMyENVGILChWhoDMWXk2sUDkZUNq5Go0W8yLftUZsanKsuP
SZudSkkqvDLu5sFYS0h16JcvtpWuallPp9l1qcUoEsjY/lyTJqp8e+03tKcx64tpHo5eOU/EvRbF
EXLol3wKXVTqrEymCJi2PZrZrvarHRGy2v08afX2n5+8P3HWEiuDCxtPPoM0k////ckbTwZIeEeC
oaozsemlP8FyYOuUw/TEk2IOa7cHo1jGOVXT/G5UdXtX15n+wZs9nGfjeK+a9KyP4Trz3Wd97HZ1
7HxF/h6hTAdcAreemIGJZJCZZ1qGCbg+zFcEvEPwrNHSul63h3X2Bv9VrZK0fRK4fTcAFMCMIzVn
p7diM9WOB6PKGFMQTYkODPF/fytFuWtz98sk8wc4OkcFB3Bu5bFW4uxW5dlrhb/rhgm01ZTsxRjb
qxZMuxPCyIqtdIf5zl23entvTcpYVbFz1GOf9zXaEJg6BmyNZnwkYd3C8sIcSEziaiVzAagBrdWY
ZJe+mm9ixFbZYO9sgB/rhDViWGRE23rwFnOPXHjwvHZUnWUEctEtxDWRw0mqfM+9BlqnwgtTTuzn
0+aapfIeSSCziKKXa6fQSBavKPaa5jYx257kl8UK1KSP1mRhrx2TVx+uatLzMI08oB6TsCyrF+Qk
OhOk95bxkubTOjehtPvWfuAcMtvyS+kv60QWxJGvfQmJ3Q0qUQd05GOQydw4aNVylnXnxHU+Cl1u
dX2CSsoMZcqFsUrbKUNRHV3NGUFZAU8zsKrU20OtVFjIzOHE7L+5SCrZP8ETsMv5YyHiYN+EWg3E
lOyiP5QITCcGFNQ59EeVrM302LAE/edvBqRUP3wFPqVJfCEDZRQVy1pp0W79WISYDkZyz4+iG+mk
BEdfE5Xsk+q+GVKeBBaUTr31080//5o0oH/yVZef+4cCS1VZh+lN0y76RBCgEEyt+QO34ke6O7xX
LHJWnWc/I9k79ArSdT8CtpQFUdS6SMpV0cwfS809J52lr0AXbaU/GG9ebLnrXE8fHawaa1IsT660
XpwwG4+GRMnB01SUGzW7xcarNBSGFWAVt5imgxpd860sUow69HqbJEk+S57VTa078ZoTeFp3nsOi
WfkPypIzE7/skREWVrkIOtfUfWE6tOdS+tA2zdbB8RgIO92beqwxcaZCkUNR7KZZ6asaBCnyzUXT
mYz3yya/AL+Jmz1yAoB4Jx76r3U7iEUTcWgsbc98+MM4p8+Wnh3tDhJek1GsJaGJ2rvDBeMo+5DN
6YkR8bqYQrE2JTtdM8w4ZfXnHi8QuPv84rH/L5qBCNuZJ1jfZF1EEDm9dZmyXa7QQq4bGV4qyMCR
7e6N0plXXjQ+oDKjgKu0D6rDtGOanb6a3W6nVQlgAFW+Imy5NHq+eGPBEYxd0BpHVLQa7bO5d5ky
rivDeCymeD+GsGv7Rt1UDncktO0Dfd27V+tqFRJ8UtvWLqqsszv8WXTSNz7b90Xm3z/jSyH+w9M2
WJQYYuZpS8/FbXSjbetT/TTsSKvfO2ePq2f1WQwB08pL8Wn4k7yxb1Hbf//F2VOy4hVIGZc34A9f
HPWbV2SepV2qtR0UZ7Gqtgro7El7drf6Rn+8aqvzc79J2ae88j/yZjrrwTHZhjfYXf8sXuz3jc0v
vwlTp7wEa7EInf+gd5z0gWG3kcY3sX5bEeeW6M9N/0vry9I+ei9/0tj8/sz6+6/BgOvHHxgJjtLi
WMZcru9Rs/enu39+evz0Z3BZfrnLHI0R1+8/fz46M9P4mstbu60R/jQ2NecvJ9S/Yfy5fIr/m9lW
S7zTP+7Mf9PsXl6/vDevP1mD8uG/dedkVHHo2pYhbH/RH3zvzlHtQiWhP6crQ5Lt8Fe/rkHdv7n0
y0AFuE4QDvw42XT+5i7rT48PMJEE/rU1qOUsj9D39xRQAcAFLj5FU1Ct6GAFfv8IaLoxtaIzoiua
elpWUMNdi8RPQh82O/lcZVpQjZ2/nuETuwuouMgjrme11yEYWwvKePBtTr8BFoorTyNAlGD2U2iA
PRNQSMjLmRx0CxzZg5JMMBPSrsT3N1ZSfTZUlXIdEI+nIsRZ/YsDa9mAuWwv8OUkij85vlxrNAhP
XNf6vqBCi/IhXLmh3a/5tsutgudcJoCdI0O8QMcv1vUCfQY+y0xNc6wtERFf+6F9Rx4MbnWBRXs4
qld0Ug9lFt8B0yZvenjSJpzY/oKaLm26tgz6tL1gqBW416ACex60bvnmwaqOYVbnyE2CZuBHVAvQ
uq2MWw3CdSqjSwnxOl3Q17gNdLpicWun6a1emGOAj7wjUh1ktqSC2KHg7YO+HT7DbsY2ZagkyGKP
MVtso7DQ0w89HG7UFaCTdbgwrSndMyzDhxZqd54bd20xNNtUQsLXIHvHEL7jbjxVJRB8l9DmwIIC
HhlVShfGQgYlRBmUyoblm7TemjCM+ZHYiGLvl7YCg+em7EABjaPvTrdEyHxhBDwdoz7Gk17oLMYW
RLk5eNoGR/LZqaGXW3iNJxWGd9OCNo+hHG6niBvTlzmksgWBXiww9NLRduVCwUtcCtX604TMeddG
5jLxjmlAIxc4L3R1d8GsW7DPAa6H+I5r0H8uMHZq38+dH0N/X0DtOMbyjVzg7SMUdwnN3Yma6pJk
FazfCMQaVrctYdLjWocCn4RGt+kXMLwQ9T3NXbx22aOv0wUf7ykUOXoLUr4RCFAjNX9WjW4GVaso
wRcEfbrA6NWCpU9SAPXz5F3YtBIWMTrvTUUUUOMbN8XQFSuz41GmbxvXUZ8ATI+YPRma84Cb91O/
gPET+qSg9Vy579oRwGA0PGgLSD+ks3MXtP6QI+5BLMACdQHv1757Gy4o/tqS1l7L7Rc/FW90NDt3
wfaLsb1ouQbwXfMgCML2n2H8k8Q18eK7NWlbre/csTTvrKMxMzejCLfpSscGw4g5kHAQP48R73mR
eSUDEoW6zR23k9mZt+6Qv4BFIEPaQ0wath3KRHt6Gump6X7Yyo2JhidwkeCW3QSyuXwGtDDsBokM
KUFwGTboHvCUO6cGY3BQe6RAgUP+MJfhtXGqsxr9do0y82vS1Q/CjA+F8E69BwmoS08zjmNBcxxr
8UVPWeSXE4NrSzLyyRvrXi+dfm3webf1aJw8k8kODd8B3KXYMF97Gfxo3w7WiSXAV6dzt20GrLRE
41fiaD+W2vQqlkKuNohWqMdugH3ZO8dk7rYeMj4iW1K3656LqO7L7RhXIFXA3pcP5qDaJ9rVgemD
ANDs6G3f7M3Esz8hTbWPXVvJ6JY4scg7dLVmfQojR4SX1EZLkvtZt1Z++GwwfdjYo+DRCCO5CXle
9lYJPnpI2ZQOPHcbGy1zwFP4oiy1JzdWoEN19rED28RdwuKGJAKhUIZ33jxfx0J1K9BqM4iG/FaS
Nv+ogHFt8irheMqkYDmcfo0a965xUIpoA3lqeCv2AGjlyq3ce+Y4zAz6p9qGZ827eOeF+BV8BcZK
n299KzmpbEI3Wemvxsg5XuK5ShGVGYMhVx2kl30ttYRnLbxOmS5WUwdoVwPNFhRshLJDsTDNW7N4
dcs+3iDjbJAUA2PI0jeB9rpMx7cRMHpR40SaQaWHFsx0Zm6AK8Co6+O5YDaYozFGfVDMOzqqndZ7
12ghsPeg2B2Q7CDtaJpNeJbA2g2KssBY+O1yIbm7+UDKHL6reKG8NwvvvVjI7yRn5EEKuqBbqPAT
eHiz1w1k4uw2BOj4JLXZsDUu2tz6tlzo8ujMmSgju6hjcWMtBHo7InehaYDDAqcHBnNbAqvXwISv
St15Tr3+c7rw7IdRnoaFcE/fdQqB1Nqg78FoX6eFhS+A4lcLHV+l1TbxdfD8Hhkg8POB7Ec450sj
UMiJCqyhKwLy8KHJNe6bB9fPTBb21rvTgxIYFj6/6XWndCH2o5tx+IfjtgHmb3VQ/VWCxDkB9A8z
mfMZwU7Wk4uiJQ8yzF9rYgEEm5+sm849iQGZyUuteyywljABl1SB3IjeU9/f26QNlBp/G5I/0PWQ
yMkjyEW8+1ZP/Rtqxh9Lxv+HqVxLP/UvFZaQkX9SV/LRv9aV3+R1CF6ZaLD7QZ7zQ12JvE5ga3ds
uI+LFvZ7XUmkl9AR3WEa9f9XlPervM792wLltlgHMb6w2KT8lY05Wrk/1pVoalnp409dvgs+4e/r
So/FEjEe+nw18/iphpezkswlINjXDAvmfOvVzs7gabInjYmE/wTmFH2OgoOS+86H1CNbsOwOeZpu
QLaG7dp1iWTaJIxSH2Xp48EX+l2kFc2h40QkQ0am2ptAycEC2zD7+OSGfT7CSNaJE5Fuum8BjWxy
lao7HZUOAQLOw5AtjTmpSKS1svYszHUVY+2ox/LDNGlPOF0eTWqjQIc9s9IbCg1tItjROxowronZ
+dzMJljZYgiiVL+vUnHL+fAk+rZYxx1vsbBbRnwNkO6w+Do1mNRjkl5DC5WRaBiN2GK8YjJ5rSVV
g92bag347ks95PO605lX+6O3ifSOmI4yNrYZyAQc45o1HYax1FbomU6Gcq8Ar1bKiE+zclcY8Fz0
WDEDcdGfmr56jnX/RbNcXA3SvMtQ7+OoeMoSDOFNOj92zbDtlVHdGCGQp6r8KnSDuUJy76ulNCUD
tIryg5FPT1mrTlrZYxqhNtW1yV0J01RIshDraFrWBabM9nWrAYmOnRXRDWIdCsYRNj37VSAMYI1c
M3vqiFSNy2HV+U3KvIQNS44YYOMBHFoVIyARR3c/x1N0LEwkeF2Y6gG5Zys8JRxd5l6p5hpKiH4m
gyQICE1dIVhwVL7rbGDZAdEoB7NrVm1rQ5UBjWiW0HHiAtaNHr5lMHEzOZKtpagAi/E1ckpiubiU
Sthj0JaAeMeIqWJTe9Ub8PRND+bJyJgkI6KE7uhd2LH2G08nYUuo2CEs14RDXTQPccseR3Q5oigR
sUpyCb+dG7WP+3EGJi0t7iN37VG27xjMdlvJ83+j2Dq6mnXQ6vaJbexeV+Jp6DtjFcWtvu5aYTC4
EOkZpQh1HmiCTWzDUQ174sGKkUQYEO0hfl1Dv6lGU9yBTadQzfqdb1UMu6JjnrVhMNbilRmGjfxu
Sq6uKUg/A+8wefhDunZgY5LIlT0Ub1NbbkWffCwjDfYFoOiITNtVKid5tSwY4WP+yzH/D8cbfxg/
2DpiGnMxn2JZXVyqf+g9K3PsM6n5xlXmj5n1xbbXfzr1/cmX8Gm7USJzRoIo/sOEY6qiscXsbF2B
f6nsdqo+FP5/SDC/YAqWUfM/vqwur01Sle1Pxh/Lx/16TSHsMhc1N8ot7BkgV364pvS/we01f7m+
vgEMvk8/8EkYBEV64Bi/CRB+8yy7SL5IZkJKAGTWXWYmf0HXZS4CiD9OP7jyACFYGC+XJ+T3t1Ta
aJlw8X9dcx3J4yXGT/dpNHRgQnZTFNFtScl8nFXtfHJia2ACpxXofAleGl6a2W2f/NgqH3w/sedV
aqqB7JTC7Z5bUxk0EkwjNk6Mo8xKtKdRcPiM0WytpBDZSozOrQegQxEIq3rQxXJ6HaL5lchei3fa
vdN6OclX+k7IPOEApYE3Mmcz9qRGaM2RUTKwV+BJrBRJRYr06TWrG2bfCDwDNpNLwgyoqIkdGzGt
3pINMy75YF5gK/9gRU0T9AMI/dy5t3r7Pk8cY52ZrMLC8Wb2mmiNX/C1LuoHvFifYi/FJhZyVxRF
qkgYm8nVTPx8xeKedZhl36eOe+699iMEuG3mFPIMHP+k4oy+MRRElLUuAJwmQh88VN6qmrP7vq4e
a2uuLmbTl8FcULUDdhop0clrHqxF2SsRUXcm2/uxiOS5QOM0u7jQHMLyWkOv1kpv3ue2mdDRjnLj
tWov23Sn+1DwaLcq103paPwVSP8Rq5rYUsuifk75HeDRHlZR79n7pOBPVj8qHI3lUwGAkLr6zrMI
cKjkZyOLPzglOY5dl1pnoiEPKJDvkopJUW+78QoXQAiw0jlHixWllNZ97DgfrAYTH4P/L05ZnGZ0
DdXksVfWSTQsCpdsub5MyWocT8XiqdUHJOBlsZOJxrrYUkQSGj2q4OIpdVrWeM6QbGm9Nk5FSK/t
DCttoAqIdW9r1W5/o5apjju1HrQH69BlTv6E/mBc4wy8mwFZBLYZ3xTkAGDcJLcwndRjM6VvYT8w
sI8bsJ2WjoHPe4Yn8tENo5WgIJE5Gajj8m3o/b02gZ4J56vMiPBMxNYPb3lYyxurV2fpZ7fz5HxK
HAYJBYD9bTPiFrTod/GyT6fO4bEz7PRcipLLr+Eb17xnzWWk1tlDsjLSMVxpzRLAkN3YVX4lafNE
rstt3zLU6BZ5fORaW82sP1maRtKleMw7GQVO6R6r3rlOyWBy/1Oa+OyY+5riMWw/oCN/c7Tx0jjq
XYT5h7ZzDwYBd2mfGQed+L5VJwGl2SWvA3K1L9IYeIvNaPW8USInLpwrPzzJ2EP8sW7wcxh6fhWh
ccteZVv72ZumhSuvxH3qxqiOczO/XTDr9GiUnXlXPMeLiZZrUwSaXsiTJlUFDZGghxA3zMrN81fE
f9mmm+Sd0YYfIWJOKzSwiDnZs/refJZFd1EGCDVlvQxO/ko1SXQaX3TAnFglaxkSokUWVCv1nWVa
e7MC8kxKzUVR2weF5RXbKSvWllhAUAbuDDs++qozT4nRFHftYuk+jr2xKAgKkvyEOYNOqpF0pN6z
ygvJxDAn5ZvA+nZbS73bMbtiZVyUcAlGS9yOk3VkcWDcxLyxVrzmNkR5KhO7B/rA0GV8nusium8M
Q55SK7V3Hb+CzSA1uTdQvwcwuF0ziABC6EHvdPG+00xkoqzwiPesdGOrpWEW/Lt6yv+7ewjrX9tD
PHSvBXSnV/UTpeDyKX69jFk4LApqTuRvlJDf9YwGVkiHRGfPhk2+sNV+20V4MINYEKDqhSTJAoO/
+t4z4n0G8cbtCeftr97G3xKbf7+LQETCt8DufKEa6XzrP667NKI0smaU5VWB95wvqahQ9BmWvlA3
ulzeutD8ulUubc6K+hbkH0GBBCM3IiejSJZBbuTnWjQvHE9H2Rb3SZ4gnSNLyEzDi2fbF8YwOJLd
YReZRG0yuT/H+vAMKezdT9AvlCTwDAvXl9BdcEQ5WMgY8qIiBQeCiKLHAYHVKXKIHY/Ns9kXxpvg
uR1ZUMjtwI3C+YKSOjkSytJhMTI0Anj1HmZ7kJPf6cCx1VlFOn11cBM3B9zhHx0JX/mDSQgT3sh8
SBVvxSi2zk2atC/pEBZrRSMm6NP6lMtBpScXzSD6Rd9uhw2SOW2NtaNJ91DZYB3WTaTX8IIchCBy
GN+Uk0NyJL7IrWy16uJh5zEw2jEgfK3CMly7Q4132ZPD1lQlJDG9XokWUmQVJ5t6RnsTA+ssw/5R
6OGT1syHztXue6Jein44WEQe9lp3Hgf76kMQCrzKWTVS3E9t8gqiEqWKq+EwVxflFphstAqlHqUM
U/P7XmkHxxCbIgScEFVfhUl5oA17I+mOnHn7KKzPMOBvcjHeqLJ506f2HtvsXqTOYwbPMma1HrK3
cmL8c7WsHmRF5HzB4YihZLDb+6bz1uY4EGZsPecuLnzfe/W99ijTAY5pbopN6n8tjHJjSeeG8e5m
QJpNihRmq/YSJu0tt9gLIX1rl2SWCiBl4cY3c5lfvYkMQRtGZ2vt21E8z0N5IVgyAG4LTMFaVemw
9eP4Jg3Lm9b0T7Np02l1x9Qm68/RP6Fn2OIMuFRm9xaVXrpZXvrI9akcDNYExg7C8tno2y5Qvn6j
SLed6vSmccRdPdE5z9qjHZsHmS6vsOJEzvJDa0D2Z/Pvh/W7b7XY+OWzm8aPEN7uu1jbhpV9Ni2P
pjW/0dNeoqgyzoM1voGD6gjVpPorjHPY4ztzDcDV3TlyOYWT8TSM8aFsIWF7U/PeuOK+98f7ZkKj
FEa9fefaDQnEQ3zjhNZlskV+bdhcHfJMErNMP2qS58MeKbDH+qo79nkweKQUEnrZtxpKqKFaV63/
ZYrGG30k6yo3z6Qy3Y01VJ2Rm66X0l2bdf2pQ5FIrpvDpijcjXU/URWEn+ZGXgZ/jLdQ/D5kgGJN
zYRnbZGjJsALUjOzPzBzQKRa3IxL3in54LFxYc58b7GkWLFMQqc18opjs7tNK23Xsk+riDLcA/LQ
VlpLGcmi4dKlaoeKf2Xjk0NnqjY8HbxaQnTkFLe3uN2mVWEhZwU9AZ64PS11uxVmZ7NeLF2MV5z6
phLoncAhfq7gEGzRUayXFJt1GuJSTDrnzpbeoexSE6AQJXdBqEQQzmNHYpFiqCz8lYgpR4jiOhPr
oJjXali0y48d+6MAN2pPONx8A6/iQjLqF8eskSF5Yh9WBXY64uEDWOn3hA8/db5z1Oxo72lKbuF0
QdVIhovtE2/XW5wAuUbojV/hJxV1SIosJe+WOKdzWQNedMzkilDssXeISIvj8UPk2DzvkM8LDSmk
lzGh4VcT14AjsW8/+j1Wdz8BpAKpdTjPJdDM2EaF+e+63/+fz4wFK/t/3IZ/FyO8F1/Kz0nxEyrr
8hl+qwEEwn8CeD3BzAYpHH/1q1tAQAek34YwRiCLhfb/txrgWwak0JnkMicCk7CYqX+tAUC5IoHR
/zc18i9047az3O/f738kNLptChc9AjAGn1ynPwjoXIzHHoYl7WpoEoY97ZFuze/hgO47s6UTKFPf
ovHdNhOMcBKTq+beb3LtTri9Bv3bLQv3PmKnyTmINXGtWqN5ZoXpTp9tjQYJonseiMXjCLgO36Pw
5l3UDvyJufgO+jvkm8UfCWph3PSV5m8bzJNFlemfoxo/JQSTalsuHsuB4zzoF99lV/JvzcWLqTLR
fKq++TMXp+ZMHNJxKNxjmjag4rFX2THD6RaDpxLqjYhJSt/F+8nkETPTMlXEFjot/tDctTd0AvBd
Fu9ovpC1/cVP2kwcE7xZyWnMUIcR7BSYcJA2Hh15IBZP6ozcVnRje5sSyswGqJMvdLnTg2E8J1ab
YPXMbpI6iteM7u/SuSsCXPCXSV+oN/RAvM8/twn5xB6zeKuT0OAX/6y7OGk7Ul2OxTd37eKzZamq
b9pv5tuGyQCdE47cvkI/z8uiXYlr5MzHuJt2pbmCxHOsF09v1pcEMNCf7bg7s7sR62+5eID9xQ1M
bcQHZfOcbOn1cKWvzAK2SrpYiJvFTDx/8xWPo+Wt2aPjNgabBKgfLEX4YPNld32aVvqGB7s4FE3f
07XgAw4dzbskFljdoIMZnYGOhiBtLChpQ8UvMrbJIIYyHTVoXgfyZzasSV4yo4s2IUxq5gn5Cob3
WYYxEZXpdJULwDqGZB3P9hqxYXedMF+vwMi4K6vxMq5TMii03jk0PVBsseCx+3R6iBdgtoCebS0I
bb9hCTzaChzNtMDsElUNfAOdUADSm34Q1qW3K+04mS4FCb60W/tbimnD8lpvQTSZ1GkgaatUdmf4
FihReNCumLOcbVPbBFZYdGtaWSK9QAKJXFrtQB5/WsbQsL8MMs3G9jiMCxC/j4ytbYXeDVyDrZb7
X4TWnp00vyuVegw189JWLmpZoVU3k5ZMB7FQ6cDw7zWbcX7O6P2Dnobh5n/YO5PluJEt2/7Ks5rj
GjpHM6hJIPqGEeybCYwpUegBR998fS0wb2ZRTD3pZlkN3jO7wxRThIBAuPs5Z++1HeetUYZDlCIr
Nu3jGBbuilPIphzGlcWAmXvm8JQfRZa9TJ1yEFp0zELGk1Er/FPuoDjILGms2zC4DcchIHw13VXk
eyQlHxInx73sI/Y0skAWyBZeg7bnG2hF56ErCLPMqbqVpssI5CFg3Up3LjQmp6peswpDHJp7TMff
LDtiacnWtO/WEkiR2tH1DnTmN2zEoYx3Nhhmtx+8XpuTCxrUpUxw751UPVMC3EPkdHhJ3cJCMMUu
6jvTN1lqN2Jqd/M50ciyldUMBsDj4SCUxMMP+hpaxsaqulUdBCQqCudSJ/mNU+hf3YTvcJYab407
3pgKAddZKU9jOcHi5RzJZ4wsGpQAWnL0315HqjwS+OwLlry7fn4ftSTeVW14mQoSHmDlw1TYkVSx
tbMCThGXT4V6neUDAc+jp+MUyP12qTh0GiZlQ1doayPFzSSxqvWwVsSssNejL5YDJ42zOkEaXhLa
q1EW51yqzipXiw0EbI4gbXDRiWiIumA7qM4yK5QjaqX1mEZMk/XFmAxeyVcEs6/nV9qSsaPnN+lb
lb4VfntDWDdvpLodUVFFff4kSoT00KkoC0nSrjzTJ8eawLq6scD9C0btw405uHdpPOlLN8VsTkz5
JjMrz/Vd3kCf0ARbXTtu9m1EzcgKt0bO5dWhs7QcMAhBHe6YJ21JjHtStYZeinNrWfLJCeuboBuv
2+xrPsq3UiWwEEPowjaidWTJde2PyyQwVyEpkIERXhvkVxWdcUNX6ZumNAu9UjkM0tJT1a3idlun
VtZqmN7G5Fs3Qrunh7mwyXhcWEKufAWis9qu+Spe1a6z1ox6b/gjFyxXgeSBDXm9LEo/hxWuf+nb
4olfhX4N+M1YA7/jm0RAVtgDb+tf67xmKKYcSM7agd3H6GWHi65KCEJkkwilX4KtHRluWfZGb7rH
rM1fGhAdo7R3SA/xuILKKJpqmztix8mbHqxwcUZ0T32lPhYVETeKhhxjoK3U8uzcVZA3RDAI3k4b
3E93DVfzIHEzdArQv8jeOoN/hgq7y81s3/naKSyoR/KWpM10vBCshbKhX8jeuY4r92how7O0cKlU
zAh117n3K+u6JkMkr8UNwAl1AQP8tmUi1En0RNVEg1akx1QEEKlLlYI2OFXzQjUVT2PSHPRKbKSc
g296GvG9V/fzoSdHb5HfV1BwNb04KDrZ6orPHBDPdnpb42H1Jr3ZVyjWpr5nNpmw8cRfkS3dx02G
JAJLxsK1m2cTw5cOcSguAI9E2lcrY/7WlE9JFe7gNZ5Zb/EKVwkD7fogplnOnYIMm1TtORS1XLtG
cpdVDWj2IdkkhnaJE6q+xGV2WfTGGtvk1ieeqdcVQHpTQUw6MpmgDzxt1JdJigMkzC+orzaxPxBN
NH6VCu428u0bwIQzlolvADyyuLNXbRusqlDJPTRi1Act3RI2CZgx205xvnadWAM3J7XGXkfqsGKu
yPpTI9cJhmk9ZPlhbIJD1Yg7RJC4Ehvp5TWN2CihfuqVfa7TGCAzQqOtUWnFLlWa08QspK7kFywr
mHVqFxrTcOpMhqqZyvb34Wx7+f0s+NHp+ddxnkD9rVsUNLP++7PouumrqmqjXDmrGYq8ZFEkNwrK
lp9fZHaCfD6GIjFnbGpA1zD0T2NJxKRUqqamnAfntwpVW/s8FOAmlhnW859f6UcH3o9Xmv8lHwTt
hV+M2uRzJZ0YcpO+qE18+LQrrIe4fYkK6/cS6W/MW3l6fJtmariGb+vTjemI9Bw/LYJLp7w07aEM
vuTpl79/R5yWOSxzGQh5ny7hW6BZ3FGGF2iLJIa147hKQ7pfwSZC/6A3vwid/cH7YGouRQsTZMZ3
1qeKYRZ26qPaRBcAcovIwMsO/Tf5xT19UuHPZcl3F/nksKl9pRGWz0VixmZNdYTzvfz5U/vVbcw/
//AedM3ErAM4zgUhKy0RLynufESxP78Io9bPr/V3t/Hpo5HJmMguq6PLoBgLvGxudAG0zAL3LJji
Ed/U1r+44o9uC0E1vB/ajQIH+ve3lUROFuXkv13s8rpUA2LCdrb/7ed39aNrgACxCO3jPSAe7ftr
+MJQLKer4kteh/RY4O0UHpFLP7/Ijx4dQaXIIkiVsHX300WKPrTtKCJQvJLPuUXTmNqDxcD1b2Fd
mihce//651ec36lPaxBL3H9f8dOHhWsLl6c2IhxHrgLHDljaLxaDGez24RIzFkVoNuAUnck3oOLP
hri6MOFzDFp2iY+oqHZsnieAWCtxHd4ID1LtmuCv9c/v6vtLvhf4393Vp/UOS0A2gJyIL52FrYsh
ow6tWi+2P7/Kj58dMwmVnVNY4tOnZU2aZTd41y7wdT0djbDT/OLZzU//86eDoYO3zUVdgmTm+5dO
wmrENqHEF5vSd3R0TpsvkUnuURz/4l5+9MQ+XunTAkdFXFTMLuOLJt5C51r4t+X0i+Xtx5dgrgNd
mm+S/elVi7Skc8wpSC55fhb4qYZIX+it9Yut7kdfIV62P6/y6aNPqi5sxoCrRMmXVMG+qqwqcy3g
8CbNRUk2qfjFZ/SX2wLVA0nbVFGLME8yP0k7CDqxZWYX6aXpNmX10luMM27+5ov26RL00j4u23kX
8EDDMr30E5BhBa57LH7x2P7yLr9fYjYBAT506bN9f4l4GOjFUmld6vSLMu1QA/ziAn95lbkAMhtU
WILGG2627y/A0mn3Wj5lF855WYuTJ95FABgIjnx/Vv+W9Or6h5dm+dq8/p83dupmvHrN3v7zP05v
1Ze3r7Rf3/9s9/U//+Of2ir+1p8tWfUfqqC7yuSV0SdD2A8tWe0fzEMJxKIfyqr1oSVrQH3hJIw3
zCXLxX0XAP/RksUihrDORtdkIJYAtfl3RFLMeHkF/nu1e7eI2RYnRghcnBnNz4duQ9HphZRJctZU
s6n2bhNJlUTPzFSwfST2PNpAtuO1ZVwSEkWqJqwUrIvbYbdT/XiTz96guQXVOA90deRCRt0dc+Xq
oDLrDZ/82S5gNcAPRw6uXvbuJUgw0wCb2kpd4JzGcVAk43lQ0o7ziv7q8yJ7wJYOEpdCbg04gPEt
DPgX5GxkaJ3hAU/XV0vaN9Io+AXGJLfBIBiiOsXWrN1r4uO/daSsrLI4o4ekYZqQfZPc+/goiKRi
0KqOcB4G7ezgtegzwqSs2X4RzEaMoXK2nSVhKyX91ofXbs6mjb4YW8In0QoXRdmtOEzEW2lkUEMq
20Ft4uPLKMOnNimbZS4kCXrzfGea5Q6E9zFmftdA9LMcAjUpJXD5rpLQZ8HEMEsnwlCVq2SWU9Sz
sAJ4aXBjz2ILa5ZdFLMAA4quOEezKIPITu1qRKdRzoINEmzI7Z5FHFaJ5biahR3hu8aD4QzgPHQf
/iwAyWcpCGRIHPyzPAQJLUqReBaNEOhrHBxZUfll7lgH/BvyMtqbtmJpOzehs7zWyRvtRjvRftNK
w1y2DMrtMo5PYdcyQycCvUGQG4JSJJVwWqsiuzZBCvYkNxYwRqvkDVvhY8lQvlDxm2WM6VPsJB7x
JafKVU71PMkPGekLmd4MYb6XjPp1JTnGPeiZEhGAMasBmlkWgDwATPdVng0YZMLGTjDhjZG+MozO
AI8pwng6gZQjQpNQt0QCIjbMzqerHe7azGei79N1GCzdWWVT8GUaWHZ9lUhc6dIhLWYhk3DzkHav
+ELnuZpVVIkH161eGuGwarVmaWfjPZGLwxIWsqBP1sXeONK6B/J61Vh9tnRUgSMnyIivhVE8RPyf
8DcXIa0WmwLKS9TZhincxGOm3G3GMOqW6qBe2YJUlKTCvjZK6Cmq2hysaOg8urD6KkprZaFm+os1
aMwOx+K2nznP7khMuZ/X9qIEyeZiWlowAXKxNNpvmR98TQt0gny7PKasjEM52LQCWfvY0QxX0ZW3
9ZitCo2uLw0Ld+3w6quaGSxzFYj90hcNRzmFhjBmqtgukn1eN8Xd/9b+8f+wfIfd/F+Y3N1GbzSh
/7pHmPz1j3sEfBWOAM6MufpubEfWiHCQ2L7DrxDi/Dm2M6Ag2hbjNCwds8h1hqL/sUegy8UcAg5D
cHyldP5bNGVmh5/3CMS4sxsFJS0zRBwm3x8jJmJBQ72I1DOwsVnHMpFYo70UwVditlCuMdKw8mPk
sBJEvasfe8mfV7p9trT83JaSkVNwgwnxpa4nD0PAsKmT8Cmnq0d42I2ROyfJ8sT7+gxwmh44BsjJ
Tg6NsGuau3gb9aC9l0N+F6s5TQCX/L6y5FvIVOgZFs+SqeZBjORoaSTNhgBZ4+lJNxUm3UOzD0W+
cofY9pIp2tYtYQZxPj1pgb3tw4TuOwfUwQ6BoeT3k1Mc3bh8YrSaMZPUvyl9/lhW7UOiMdwzW7Fm
pVpP9nSJXGgz3NlGugzvSWFeIvmwgEnMXXq/3zXvuKzRmbNSN3aprKu6w5eWOQ9lT1KCbEZ7R4Ne
o7Q0D7FKtF/cK1vOf+ZCg2a0bZVxU5jDTkem2UvrppftDaa26j4V42sqZeJZpbMPQvVRzSCtqnjN
pDqcgkQy5QpsZSXifNuQ8egNLTWsWe8slwWu9MV+1L7Wef4S+O396AiWAZNFY3L6l0StSUMpDWLS
zTfDlh1GAu2eHZECWDVRH5jYdhlyLMa+A540jCQBjxsH7qwkjaGteWZBkJrLfgxi0JVJTNfjCtCF
Fq58Oy7wcIBEOzBShfVrSrXZFQ5LYzNjNjUM4THhLGplr/QIk/Cqro3GfcXlh8KnwS++tBL62IvB
6EdzVkVUyzFFxxuEJeAy0z1lbVkCdDK+5CGAKsWH54x9ImQgjFfF6NVlP9VfLL81PTcpv83uJRjU
8XLM2VZtDeddIJIbe0LVSrTOlRJi4mx0ye9ghlEo4VM6mM+5M9BHHrpb2Sah50L2WJql+BrL+ps+
Dm9TUyGwsNOHgHYGABCD4OiBaVKtHypcIau4b4yVKboLYvFgSZ761gyrZycRzdrAjbwSvvM8NkRB
SxPCjGX3X2sH2kaOzos3B5M+KkHHUxEGndJAuQqeU9KEA7w0Q/zVHOqlyHhfcjQsyXSwoKjEhbxm
PwxX0DzvJYZ8hLXBJiW62DaZpQXYGH3JpF3wJ47WPwZTeY3K1BtN5oN9/UyIaM0mg85Lse1ppuqE
A2HEyVKZTfMW2TGKEuJsrwakxD2fOBOMm3aOmklCDEtkz0wwraEmE6/NLCc1O/KmyzGpfq9w/117
6LQD/oUN5gSViUf2lxqEv/3H/vIO4HXoDc/nexQg/OhPWQjSUGHDltRhhMzqjz/3FwC8tD9AKQm4
XzP96M/thZ/g04A2ZRB54ejq33MTmnMh/V0FYs7Vh+Vq5LLCynjHP37oj5ZFiYs1jMNL2TI+3Zbv
mFthnzX4qZyZgncGLgEU8zvWSjClcBdmUu7I4lKtnXeCbv9O0yWrdgsz1vBfkc3F6qrv85TcK2gR
/l5jQk9sHHSb4GImeYRwsjRDVjmt1QcaI5OY0shLSZ4GyAaYwIBZMVp44jkau0yFq7G1J1BPURlu
7b6loE5joSyMwa7EtgwqNwbKX1NIlH1aEVozw+FbY+ztVcD6jPffsWAWoC99E9ivNv9b56f/z+VR
JuXqv/AduC3S1x9po+a//seXgGg2XmONQpue9adDlv4PFnLaMPSZ/wlk+cOt5Pxj/l/FbLml6Kbb
9Oe3wEA6bcDE5OBm6rQJOTX9DX2U5nzfQ6MQZzI7p9XwFaCRZqtzof7ha2A6WVyZrT6eHSDRFzse
s5tIk/YTzhN9P/YJjDUN4oHTdOqpH6W/6IgexC3eEWjl9s1tqBbpZpq06MBe769spQGwztu6YqR6
laahe+oMzT8KUqauDbgpiw4mA4Xc1DjsnHLYKo67H/QJFkkT4hYgi/ELimE2krz3l7AmcO3IenjJ
wjDYFyXnLBN+3VLP1Zl84UhvrMYHVy+9MDVeRz+z962lOesGl9UhTxCLVHBGSZ9xfW9Ab5GgSF60
ESWga+G6CslZNiz0loWLxXNBDk2jI8iJ3+So9eZ1k2fLcpqCb3Ysn8Mh8FeE03tgQfZxMbneEOfJ
Tp9cBLQcZS+BFjypybiPWqNamzIn8K5UV5HaKJvGCqb9FLTGnoLbXqXIFcnjrncA0twlBDJzk6S5
uep03d9aGoe2SATJvsxkT6R1dz1V9ApkyjyWpJBpoQixYtxbcEJ1r2JDzCUyT0cB7HQT9TiRs0jT
zjViNNJ8eonkpd63evzCuZe8rBSJlu5Y8UoL5D6EiNJ4fscHpvRatUyVRF37lraNTdjbCsFpg0D0
1CSM+adWvnZFEJ+GxnxTEuLVGMCgkBeINVjyCOkKbi3Dvs5s4hSSYdjoXfqgcwBxjyYNHs7m6bkr
tUuhOw9qUNteakQ7qagbilxQoKVY+UCt2eMhmaWdGZxw3CJRyLNDbWhvQsyp11Z/24WQZWug3JSz
+NGyTD3bgbvNs2LTGeIYD+5JouQIWWFXUxpg//Ut4vni9RRE52wit8FCq+OaYHMnMZ4EnFmIRPcU
POlyGswD5zV+0vovmV79ZvRaCdfG+QIufEOu3D1eHYBrvjQXhawBG+X6mF2ViSC1SIdh94Ws98oD
almFa78Yji7ME74VWZQcNYtD/aId02JPyW8sba0ajgHBMLt/r8rvbGudU8K/sCqfih+tyfNf/mNN
hm7NCJ5+ntARCb2fPv44mHBmsfCqqMgvLEtltvDnwYSF14ZmhmEFupYN7oBpwx+Fr/0PijM4jFhg
6JwSUPR31mQCiz4fTRxcqha2b3wwhHPa888/rMn1xIimFa11FRj5dCQ/XpWok5ywNJfKQDT6tJj8
VsckT1JrunQa3y4QXGYIyNsofheYqenJaSMVHTotK8sOvJoC2EQu1NIeWwW8tcg0p16ktBhRoQeP
fQv3ZzmpgQn2KoEXLXc11gGSOzthDddtbMNCCZUiWKPOV7x2yB+x4kMDBXTUzB7Quu6aRdnB8EQC
nzEzV+q136p3cU5ed26Bjc6gC4/qDYZxOD7awBfIl5ClskNe+ketHx5GmIqwqvE/SpltWrnDM8iy
E9AZiqw48hK7wZ0w2HSEHJQkLfmXC6zwGDHci6bSBkhZd5S2ppbh/I83w5bLPnP2FeoWfW6bRW33
1KByXJB7csgiVaAxGy91kY/r3upAkrYusMOubDzDnoZl0qAmgoA5rUaBKAab0Qom8biErAuhzOm+
KuZwAFUDKwG9qpf52tdhkIXXinoNrXsbCfRimZYeY0eXXkTGD+BuMojL/li3DKm6iF4Y0vVbBb9k
abf62k+IFVXgpfmVL3fMUoPFYBZXsV7cEAzgMX06RPAlQjaeRYebUbPL1dimv5kjG0UVdsvGQAGc
JmSpmSAwZLA3/WxVSQd0iw9YAh1vjAm2SNbOaAPtMppTpuCwTNIKXi78aC0IHlscuagFXHAxoxFR
dwW0KkDHsoZ7WtnsZ9MQKJ/qMSgQn06JOJCxftsEw8oa6KXHA7nEeXwT5N0xEsYysaOWNX2KQBON
KWWm4m+rxA89dXAv9CttTgrGW5FqNZs/q6jIiyuh5c0mNPB/Gsk949iHLC5Zb8uzEkp2BDehL5Jy
9HXSGFhZ9tDb7HSQ0VvVeFYl/hWbhnbXp7dDInZgl8aFNSsbQweJwljHQLdUPTzAAibryZ1Inuj7
x5xyZRnrzePg9w+aWd+ZNa1lki42eeie41rgmEBYKxroQujpAKX1XmsnclkmpJg7wHuMpr31Y2gf
Ray1qOeCXVCbwbZsKFCt6Rld5kspMCAPEaFebhyV5DCZmmeq7X0XUfFrCYDzwgr3ilLsVdt9zbFN
L9Sg1D290G5RQ6yjyryTtbpRjOLS469gsGrcmjD4lk6oQqYYqNBD8xTZUvEItV4PUYpK2843uTa+
ZsE0bImp2rZdZYLVdFwvV7B0Mk8o1k2TP8c5PmhsVgCOh8k5uOoI001D2qVO1TGyknXWA1bydcgT
RABYC0vp12k9njXNRIVJFldR4Uex7XsUh+EeHElKw254SyL3JjYJ75izP5Gx0Z6op/Fb3+Fp7jqQ
0n6gmx5zd2zc9czMtuHI+ml7CxqWV4cDMmFMCqA5GY0oQAvhmQXZtsHwaoVNvmpoO6wGy8WoWp5w
x70laGUBb5D7Uc2cLsHxFSTltwqAV1BE23EqnvN3sldY7uyZ9SWBfqkz/csZFBCALQb2QTd3AbEh
C4x8M/kkPmngw0YwYiM4MWIJkBz6hyyNd2FT3vph+a2Z+WPQ844jQDJLkXdyJpQZI/MRdaaWuayL
rI3MAMjyWNkz2ywGcpbPtDO7h3uWwtUQMwmtn5loUdc/uDMlrS1IHulmchqRV8/DzFIbgKolM12N
HI4CpIsO8G4MH/X+ra8gsREXF63y0TyEVvY8jDxRzUVP2Tc6xPPi4T0qyaihypjM/wOOXmNiI1c0
EG3WxRdXN7FAqd86jZcB3/KdrPjAgLQaS5E25IUHebkuM/vSwVQkMIkM4KBXCB/ortAm33CrWBnC
80Q0FQLwmVfbKUQMwxmkqDGWoaPu2oIWKNObYWf24laX/lNoA7mu0ugtw7u08E2aTxoD8G2ddPdG
DpAaDdiEaLrqEL7++7j0+3GJ1sm/dlxq3qDv/6CXwy/448iEzReHD2IOxCnziYnT1B9HJipcIj0Q
E1iW9c/EpD/KWIuEcehfc5n6sZNjiH9Qc5I7jqhPn92/4u+cl0hx/HxeosA26OQ4zKbnuviTDiST
qYno0bGuMmPq1lL1zWWh2s82jd7Cbh/1BnfndO2T4gmRbKWT6tk2wb0/x3xihTBo5SbLkgRQ7Pyk
gRp9cp/N8aDaHBQ6khhqNVhzYN/sJFmiapCzYrQFrqGKZMA5cBTC0YsyR5BqDWGkxhxLynrnA92M
YesRbecH1T7v0SzGRviYIeTOR/d5QuydSqfy+qh8HePk2g2N18rSnoZu1D2rGU7A0ApvDBP8mGV8
aFscNILM4MdRdV4icG+HXGr+SuuJCFRlfJ+06Ys62tOO0mbnkx3EBGTaTqX+0tXZlZuTQ2jZtxh1
E3KXSrdgxBj3920YPTuRsu3V4rGulGBv04F2a/rdeXelxUDy0/FqGKOrmSNRjnOKdhR+LSAFcIyE
w2j1V+6MTCgifWeS4sxIJRxxCui3M3oaQ0STPBOJzSoo4w2jmHky3i1TExl7Q5VE1agj1Tb9RSHq
mhG4m3t+byBLVo5WVvTborE7CNSzlTa+kbV1hDo4rU26wR5Gzm1ZpF8rhMTLRq+ZdFbqprKm0BNd
exkdd6vG7FOq3+WbMMcSEeEaIkyczx4lP4ZsJv+4gKcxgrmPBs+ZlgUS6MHy3RnkeUSsfU6le5VJ
c2nFBCSBjTz2wdyEsJe2mKj/TAwWqcq0KJ9hDATGD57VdwTAJSa9OruuPZICM1LmmJ6MkYsbJwOC
2NivGHF28EybNTMMzwd/NdvIrnvbIiFdQzxZGiQoxqVnlvFNrnF4DvnkFGncC3iCZZZWK2RXzrFU
tF3qFCcZDy/QyR7Cuv5Nlg4Ipn70l5NlsW/GLYPiihMK05FdNzbFsiPCpY1oc04INLwozK792jS8
pBu2JIMV64rKg6gmq18kxc7QoxiCJT4XUFSFlGeT4jaBIyO0FKcHBytA7fgzUuM2nvIX8m0Ojdaf
iokSBT/YHtjnUSXcVM9I70hVuXM657e4DnZuGGwsk2Buy6nv+jpixKHcI1HeqfkcvG6+FZa1S8hV
BHnxktfpvZWUPNSpP5pGdZi95W2XNAt8Dtdp1m0GPzqarQXUsd9Kt9hpsxhsNGmThvvAxOZSjcZB
knXQ1+pFDc103U4Vh4/mqbc5vNTmxPmqOcs2zWh22PvK1W9EJA9J1G3NZGy5w6zdxR2RC2p1CqSN
gaXD3DYC+Qj027qoH9kbD/4Qn9rQXIbBeJOrKZgWvvRJGq4ZtD0Gib0RQbHNrMjZgS/dWF0/ZxA2
JyN3I4/CEwFDsKPcvM6UDhKMSmerrXaEZz6pA+x1R03Tpau3N30oji1xawvyPMIFaqsnWsZbu2XT
HpulPkxUaU5+MlLrZXLcTa8gY3A5r0Xdcw5ErBbqt6kOmJ0iYZgghkRUw9R4k5JnNzpaJC91+lRf
O4Vg7RsMY4+tmeQZKz24QUtDJ9kR6dwsFM09hGF4Nrv04Adjv8DQcGK+iOvAzX/rogaAe5VeKaq7
KQv3qiKFA+TIsM5KVVtFQnuItPY4EMVjJArIuPh2mj9CCE+/SVIxizpYGXp/0ALlcVC7M43WKzUB
vWnZcHLH/lVXqIciGTBSLTmKM+HERCDWeRsQdO9kL5KB2OhSBzdRtU2KeIN5u1/WlvZAv3Zf1t0i
DJEF1cp1B6/I0807O2gJGJh+i1P7dkKFcMxFKXdq4N/ILD8pM/zPL9OVOYkXTVobW/cXpgH5Jm4I
n+mrQd8m1La6HrwlHBXp6RfqYbTHI2wqfa1pUqzVyGA6KxhWpqGE2sQh3wrUbZ21T3Uf3ZbU/GMb
3PlVvc0Vatyhdx7yPtpwz3fkyj42ZdjtBvOSJNhHVMLjYygJTTZshFmc+ya4i9SpXjpWt1XIQmgm
Z1fV1vWUatsqcHk02lkpq3wRYlLqWv2WxG1asShvlk41q200wlIN61Sn7PcrtB96umr7MnoQWdSw
+Fv2Qc8Zvmfk1q/D0iKzDsMkY3i+nTQrcMYurIpbQpmy5eS4sYPcvcAPcjD1dflqUiJiS7oSOkEH
yKdrs986sLWmlcdrdhh8k7C6llKftSNMFQnq9UNosEPasMV0brePUyaypTJ+y6sa/ytA5WQkgcKI
K22BaMVZiTR9pE2pU7pbFeYmwDVaWMOMyGKLEIQsABjQyHPOLP8p1mxQTGKqFARevbiue2JygWcg
qulTE744ijQNFddEa1BTjlhu92SbXHQnWZtDvLL16YGM55ugrA5tqWMXNnJPT4kpzbXyye9FPHtu
VpVWEx+QDJsW8z4Jps1vHfN7LXGeTd84dT3+T6a6hP2sG19gOajvMH+NS8cOX1lZHwgs32JYPqti
ePNj4wCbF60NLA1epMKrFeLdJ3GwowzCRGpwVM6AhuM7kpimWrZoZkh41ir/HNPxSJPipqmTCIzt
tJOBdRRDtNUqYpUSuctcchYKNVlGNgRIKzau3T67bQBodsVIbEue3zEYzulRJAeqz52qKieXEpaj
0EYfyl3juxslCXeBXR4Afz9apnFIc21fGey0hkMulPxChUzzOrgefE4KIx62yQ9XFWWxKJu3LHSP
Sp57NS/dQO5X66ZfINcTJOXmu0KNbiodEYgeea5Jo8vIoBgP6m2dKBiKckXxCDkDOR2sCGZZ++BY
3Bn22Lo1abHaNmv1J2TJXhprw1qQ1Gwgg+NoUS7IwipZ3ZOn1GhRuQkSZJHxuQkDujZIiZ+JH0hF
3BjOdFE7EtPANNyNPRq7WD4WNAQpoYEwKF301a+KjrkA5I8mNK56oV75gUG8cmOtkMCuTN/exG60
cyPVXQcBaXHJxKxBXDVS4457fLeWzssSFL2gxUSrKyQ7euWPlnMutGKfmzQWUmZ6YaNep6ZyTBtY
kEpgrOsa87IvQphnNUamcLSeRY9D2GWlwe81HIfBwabZF4+DmK6lYj3reuyvZVQ+qVjvFqrVrpO6
SzFncdeOr23deekpMZN2hRtugyqNPRSGJ4laLQmU6azo1UFqQbnUMXouyyqjZBzIshxLKFH815gg
sejK2yAa5IbAyR3NA5DdTUvC17xrC/NpYNxDsB0pJNWA57IczSstia4gd3lmbIY7O5zqI3HUMyjS
eNSDNNj3lX/t1ukzKhxzO3/diTdDfpazm6MHN56dEKaZNK9pKEZH10Aio8ldINU7Hcb1VAgVsVBL
R6NYqllyLAN109omugSRfUPHmbKW61S1zl3SFPuIUj+hL9ghhljVevM0auWNOxDtnEv7KtYCQrHj
NcKVkXT1+KFM3WdzMG7wShUHYcQ5pGwL/GVjPk+Zu3PJy/JiNaIZ0/GLlVJbF4BpYIOZ3TZOIXvV
cAEg5puZatwOWqxTRlQVbVsC6kydnpxhKStdi/wp9j6Ufpffp94/scARG47Ei+mfxh4PjkH9VEDp
kaoOup5H51gi085P9TQsXPP25xeZJ4n/PXAneOT9IqTqweZEdPa5q534ZBoqdR2d1XGn5CcVnYxi
3jX93c8vQyX618vYSA5MLFZz+gQ//9A891XVpQpQObjr3/riXjF+YRf8we9nBAD3E/wnj+vzs6rd
0SoKK0vPec+LtnV8VHh/luE/+Cx+9PsRz/OEeFAzBeP7f39gz51aUYIEou4QF/FPtOj/1bD3yR/4
+8fw4fl8+qyJqtPo4/N8AJQrmZfA17OXJo33tzRe/vxWfnApojqJC3JMgSjQ/fRRpA6Nw34qkrMa
b/FuNupC0lE1PbZhQgZ+fq35n/3p7fruY6F38fFjV7Uo62wrTc/S8GjEEefGV4s1dezWP7/Qj27q
4+f/6aZyO3axPP5+IdrjZIKCCmIfmbdi+Yt3bf5Hf74pBCoq+V/YNdBAfn9Thsj1go03P9fG2k9f
uwG51pef386PXrcPl/j8uk0IHYsA1fI5d15j/9lU/gev88zqRtKDuQk/wve3EJepaExFz88xKyCd
3HT8HyxejMpUNBQoIhjWY3X4+MnnSs753tKK82S/9vZVO49+ml+sXT/60HmJESWZc+zOLJX9eA2C
QmQ+OhMkKg5+ozePXsR1V9GS/i/2zmM5ciPdwq9yXwATMAm3rUI5FllFb3qDINkkEt7bp79fUtMa
taS5MYqYxdyIWWgjNskiWcj8zTnfCVir/N9/kT/5Xp7Oj2EaLmAs5k8/fy8ZIgnxE7s4S9VTb4hT
k+Qf1gzXd+bt17f6r4hNxXz9euj+wUBzbl4JQf6TgSef9WPgyY6YkbbJJJUcK+PLJfNj4EkCsqE8
jrbpeLwhfiuOtshGJpAJmzK8QRQDPLA/dsSW4iQ6/MeXVXR986/MPBlq8i74x9HAtcPbna/vc52h
oTO8370jawfE9ujqITYGpK7WkqU+mjI/PGpTrR8LtyXvQtPn/ptI5EUczi9eZCzryk3erYGURBjE
o7tnfZwPm9qCrqZXNenbSZyAa3Vk+QgDmERJoE5tpEZbQOJBXpvIgq3mVRCZ+dH1ethszcImG5X8
bkjruEGYfWwlS+h602UtbLGsEWSqNAlUExaO/sonjbj9yiVO44qM4kTFFU9El2uE2cG9Z+FixyFN
OenGoQc6zFFrPc1K/C1EGdqAmURzSS5yRhdbkZPMGONqITfZsJZLSY4yHsBLUWYHg3zliUppbTsN
lB+D8OWyHWCPtUJeInXd6ZV2nQzM1qrQO3YqvNlRMc4RVdpl0ZaEAGtjupkdFMINofGBW/fnqWvP
WjoBfmGchIQZY31ZjhvJih0Ns9NBNo+tuflMre4uzvQ7IoZzm+qxK661GvikJVihIUyPKkc+E+e0
djvCpNswh20AgdYq5afbgog3K1oYs/ToXCA3zlZ+pzn2uK08Oia3BlfSNGRm1So2GoIV6pkJpJvr
BKZRyPMQAWGOK6DKFnvobtLKW2ekXwTziwigWVl+j5bIhDMXa1ek+GwHB8za3FfiofVJG0aeTseY
eVs9w4GRkRtIPnSDp8itXuywL0DXarQvqwIi9LqdGZH/5lH8k/rnD3ceD5yy2Ho+pEbKt9/VP+Qx
jnrqt8nJ1GW1tbLRfCXB0VuP0Gf/zkr4N5x//7kGEGWl++dH2+m14oL+gyqXz/lxsBHyoaKtqY0x
nQv87b/Z5JikvmNAQsGic0IpluuPTY73Nw4u1IgsgNiwfPkJfxxsnIa28PmIpQyHuuv9lYPN+hIc
/vZgU4JE3CPKgIieBpb/z9dfU7e5sMmDPFdKX4VGnzWu0lxViK+MpN6FyoulVFlh1b/pyLRiZyLl
A+FWa4cZ23gNOmAd6EratYAisRF7mdADWaTHZ4cYrTn0rnlv8wAohViNVCxFMjYiHSuRkHlIyfrE
ZFaCtsxzWBE1Ee957FV3jlKggU3+0JziCPIOpoJSqblKr6Yp5ZqHhG02WajCxd7liNt0Dtl1hdzN
raxrZhpnW+ng+qYYwNUgjkudeRdOKaBF27/JkM9FdL6F0tPNNvy0KENjNyO2G5XqblH6u+JLiYck
b1HaPIuIO7xye+Yx+jaa0O+xe5LMeREdwmqqLno9SjdmNRar3nT9IJX1Os4gK9bZW0RkbTfz0quh
3fV1A4+lJIB4WlguuzoZ5GO6h1e/maLOX9etDBqRGQeS1Y+WnsUXnKgXIWssMn71ah2mLEtS0qj9
0bmrjdghCqKBMUnUEiETjTh7mXMoRlbW6CYBiLd2dmDzcHLIwbCKolu3Xfitjbz7RIMdFGvWXszh
Bw1YscpB6nBW5EHLtgpjP0B3TYh9KUMQrWmu37PmgYg02QfGU1MgouoWJ+Meopu7ljaArmhp63UZ
t+GBxYwOeBv5YMWFEjPp2Cwynjd1iFYAweV7YzB7QqKI801bzFu/BoG62CkRGYQnEWsoAw1b53YY
dT+lkjVz0G9hcXBQZe7RW4/rUfPSQ+XZweQKlNwChiZtd7LrSjur900bleGdR97dheHI75FWVhsv
TP2LBTLu2siaQ1NH92yiUH105l5oFWRiJket7O3N4DHLGIryWHgNysj8s5yKZiWWEcvr8Fy1TL4R
2Tz2JoTOGM3Zegir56H19I3bLpd9MV3muS7WjZeQiOYRSYgtoxvtK0QmPBLaYzca+lqQe5+YDGWc
SJy5i3a9B8YtRm4EW6/k+m53KMEuuesglvrdt6UKz4OePoBLxeoNzD4ya5Q3mIbWiVHHmyYp220s
C2Kh0ysZaWhwI7nRff+qyPx9R++xHl3texzGD6So1etIi+QqMfXvVlw9DqkXaHDhVw30ydehsTea
ob0Mgont2HlXFsRWaEZOeuOk4hsIiGNruN/dpT0yVTwtBmqPeBGrtrTPU1maVwWXZqYzuq9c52hN
zZrcah0NnbwdIh3waTx/M937VNuI2TtWcbz1BwJfQwnRtSBgNx4IHOjS7Ab4o4Ygp3mptO42cfoQ
Fc1yLW3ggo7VYfshSTFONprm7BdFgiRwBiRcA8UIOcpKKaJd3wcJl55xA6x7wV/dhPE0uBN053z5
5jtDt8V1tXZwJdj4IzONoqwb6st+XA5+Fb+B/yOD2zACcpR9rM/JXZfZb34Dy6ufWpZBtfsYaQQI
GnnIQ1zioLFkh1OYs3DlLxlOuC/Z6r+rmfjPvUwtxgj//DL9lYN691r8z0X5WoOB+uPlqr7Gr5er
juKBMZrDLfq7rkEZAWCQwlxARvFLask/LleLPgOdJ/fu3z0CPy5XuhAybH75Yrgu/5JQ4pfW8ae7
1cOHA0AJfSsXL4b+n+9WCEs5qMu5Oc8aVV+1MlEy8nYpvIQzTBbnWDhXsQRJ7YBgDhfHhg6dYraM
9FsrFLdp03+UNAqrCYBzMgxHCdCZjKnLFHO4BuiZWf+lB/gZqibUXjG94U6+1EktWFlAoqESbMPI
vWyBR5ezdkN09YM7F082NGIPyLQnPJZ3HgdrcUgR8UlMMwBWrYPtyUeWfXgB9RtSBk89+3oWoqfJ
RXPqO9MlOoed3RgoKaIHm9WSxk+0yZrxzQeJHfrptmusb1aU7QaQ2UXocIv7x0HUpxCktl9OWx/E
diQrwNhItkp0CyC4sabuJftGf55XqN3PiZGQaWxsSBkPahDeUh9eQLxfS9lfReO8HhTqm8E/G9dT
Y+Kq9z9bVsjQAGCDy76/WICFh5D9iA56SpLhoLV+MAAVl9Gy05IkyIGNO1VzN7cz584Un1XSNyyE
wABPbrf5fpnb29zr3grw5ZpXnCQ48wGsOaDIi7yZ933NRQj2HLcCEkrWukQ6WJG4dRUf3QO+2Cli
usjGq7RnH2bMBG2H6atVilsfyLqkTYT+7Z578OuRmQdLNBwacHwsz24TfzoY4NqF8qCDb3dIGlnV
LKGIbxcrqRjvbl5fxYr67ij+e0aKa1CChHe/2PD1tPMULT6aqifTrCSxLdMb4SMAx5svvHw7++Oy
Cb+w8wlG+ANh6k1yFsuC2TxhP2jt4FlxKpOsEQwTuz+mmLuy7nEEetVtWnbVRQERc93WdDBGpojV
9jIEwwwcIJsQNfoFS0FwgsmtaZi71AR5yn53nxQG21Jc0vhWaJELomjWRtFDk6yQ13aenqDzHMUe
EYnN5ni+i8VcB4TH0nVZiCKXHqQd4lSa46h9oOzBSu/08yrJSM/ycBcsyedoE8foa+a9ZobvpWcF
3izOi2lvRZOewBOMQToOa/rqD66sKy/pnrSRz7tq+g6I7yz6dY39c2U50SbOyxuzRPMKzDigduvY
+rC5XqSCCVbiLUKWs9LRPK+qtu4DOMSnWMkEXAybvsZuZxB9vh4GLovU9D6iyv9WzOYDMJcPXj+5
NKXeghWwssCqEBzJnBB6uyBlngqXfWhl0HQ2LOjj8yDzC26gRzHNn72rXyS+d4EyE9Wpxgo9ko/x
whItz+rTHI71Nh9o5c1ec67KLGR0LmEbUVDATh/gKguijIDGPJNaym+5zr9rJQYXJA9qhRsV2ySd
DqGW7RLSntf+MrwsJSUH669zrLtvRKK9TVg9V82U8751HVw9MD5d2P6R12grs0bJUGUImCxzF5bm
c8eiWsF/qWypN6O+hWoZP8+RxRfXBA6kOgdojEy37960vglak2nIFGJ5KcIniyDX9UzVuZg9NROr
UqvXzDUgE9LrmupejlYe6AmcOpREyi0SPlsZJUZYhS7vL2tLk1KvfH/kEY3TmVKMx7LBRsjLsz5z
3Zx2QwjouEcjEKeofMe8PqBJcHhtw0XltecpR0yKIWdF5sBhlPpJdsNjoesX3eihsdF84L8aKuOe
uNNU6ndj1B3tQt4bs4uYNEEjAwJ35YnRCpxJu4wp80A7pw+NFCyg88oNMrdCgStlWmybsY3kWitD
sUIbr6ODHuRBdPFW4tJZFbqn7ZBQgfco0O8XbU7GbW9ekJF7UylromtM2U1cDvH631Vv/D93H5r/
WlFy+hhev/9Zs/9zPUJlwRyFeaMFLI8B548pJvWI6emqChCWx9CSEcGPesT/G6NNqg2G0OS38+n/
mGKSPK/b+GZhRphM3f9aPaIqpZ+GmPT6rOhsn9UQJROv4ud6JOzjygLkMJ/j4tqaqRnMEAURZr2H
acGErs8mj4lZXHpLdsspSDmRaWsXxwKZihldc9ySl9T5vNf8s6WzgZk0582X6VXW+4/LUj9YY/EJ
vnRba061isESMs/iKmwdc42+eKeb+SW0VPz14eCDCWdjr9fgellpIWxMHx3QPFuLbR+ByWSYMEZY
lab9nGbU1/PypoVMDOnf9mPdP6Rxd9344hSzO9+BD7vLMcCX5RSdwqG7KMehwk/XHg0P6cdEeGQ+
lfzMS5B41qr2+kPvyS1b2pCZaLEtpPbUV5xFDBOA7Z1YpW0XIVk3uW64gbrC6HHsAzwE29qDDG8x
AmRm/R3XxrlNDWcVxfV8t2g5lJiQqMmqXS/1ROOdcMCRYI+/udCSja/ZL/mSEnI9hi68GD27cMuY
8mbkStQmQjHcMgm8Uek1fZtRJCOR0V9WloE4H4IzOgv7EeE8KZwR1gTEBj3TAs6tEn/O5KD2fDDG
kXU1xPiaOTGnh9xkX4iG6Rdeg1TshrBESVmDc0CztEnBO+jZtF8U76FX5IckinaTDgvCVVSIEDyE
cHFQA0f/qBL7KlMECXCX3xbFlADeiWgCzEQHbiKGDg18ohYE+djgKGawFFNDKr0DqIK0Vw1KQWVj
oxmufEWzSBEIYtB8moVzkSveRQ74ojbs+kHkUJ1zwWhBoTHGA+7t3ZQkTFrtENNRHO5hRZbrqLaO
syJswGlwD7M24/AGv6EN0MIdgBxwSsgYwN+pTBYeyI7Fx72JD9aBX1SQkKfSLgB8xFThUA8AUZkh
IToQdjUIek3TPy6omzIgIaXF74zO8lkHH1KE6QOw5pcob64nxReZOg8TzvLcNkXOl5d7BvP4LVHl
FcBJ8t7l3QyuZOhmom3r126ON8Q1HTGlBAZ4EyceOyol5IZYLLllm+yePvVBKipK1YuWl5YeyQvY
VAtdROe+1Iqk0vTOVQNahVJkp1skkyvmij6DsQfCYgNjIUt36wJnAZF7nipoLbWzmLijBjL9QLks
6XACUrFNi+8p1pselcSmHcNdGY/kS2cCm409X8ekjno6iS/+SEXUue3z0rfTGmTWax4SlG3rabfW
WxLqs8jEXzLfOwvTiqnM3JXVuPdEMB7xJr8snrzK/OnGMslS0VMC0Gt2Drm+z32Pt5FbH9Cm8QYM
FSF82oSJ+WEnouKBMu55Gz+7HY59gzieLnZuWt/67i9zs0m08boMkdHlrSHWGFtcYsKJSskciaS4
awyWHFN2TVd1mxKsp+Q99SEcpL7JcRxvC8d/m8Lulaib69BocKO5dhi0o44vbK4xMyf2kftfXC+W
tyMRVwLRYolxVxXGeziTVx6lywNLiUtrid4MlFd91s/7PPS1TZeaVAkR1tlKtlsG/MXWT7uPsnKX
Tc/Un3i/SoH3ayYKFLcrwrnANtlZsw5Fc7kY7rEzDbzNxkHK7rZBvQem3Do4izhNvXYsc37KOK2D
qpM6ijpNBKAZg0TmBCO54hdlwb9hcP///e5n5v4vDCSus9f3j+aPswilEPjNLEJHpQJU5suWoQbt
v7n70WRw8TvoZL5G9r+5+4FHW8oWC0wOPRCf9WMWoQywjPphMUFFdrmL/tKg3/95z/1FHrAVMVoR
AE1Fwf358h8A+ohOuOO5I7KX4jl9Kof51i2HYZP50RmsUvLOkqxYxbN1j+2JW8TSGJ+646cm9S3G
EoFpSUO5SKo8mYgITF2UpICM3pqIue+UuSSS9sWt8LOIG7kMd+NAZluO40xW7ltvxXfOsDxJRqyI
NrFamZVYT6XMabqrC0utH3JXebj8Yrtk5h3fKxg7o6dU7yU2sdkgcABpPYOSqy71H9DzMExJo+9J
610JdGq6mM4yavelyynJSXRjSl3fCs/CJSkUkQcRM7IPZ+WaxERDVVcHxoq6ZW3VPStZoZKdaLgM
Qma2fkfSNkWGt+mZqmysNNw5+DZXpZWz9qzEfeOTHzP7QW9Zmx6T4IqcyZjsr/mwGIlYd4UEDKUv
j7b/nYzRoDEnNUa+YIby3OtLTMQYcSbCiuHqzBQ6ztCjjJ3mj0EvD4Phbl1LIxhFl4+RwZqWWHIU
4sgmkfpRbaixsUvYi3tSg++obB5LzX7DsnKE3YYmdAkgA9BsGYc+TG/MGXtBZDu3Hr+hMHaJNimb
7Zhlp0b4t06sv6XToq/AfnNe6oayaYwPuSleEkRRbEcBLgyF2Fa9AWt6co9kTN5rGdpbZ9Ef4yHJ
VmORkJEWwu9qTrgKjlHDHKvNsg/wTN+mQbuvGFtNcroltmqrO9pzryXvWEopt+x5WDcVyZ2LEkab
bf3pzvOd3msx6BaYT1l6OSYugkf8zOITQfcmNPlxxn7ZVm7ZBqaI70qcP06iGtjI3S2Ja6+aovxm
Fc6LRezlupinV9GPvL8MDA15BKdy6Ery2bLv5KU9+Q39ozDJxcgccBbzvnS674NGdKAprXubsXzE
8hYTeH1t6GOHcXSYAobKctXQ9AWa7KF+WZ6yQKePSccvaaHaW9nc3wTKmbedU238KicqI2/8DZkG
1UVINMDJ7MvHqX3J6oPFM/eSs6sqFaBSRkxUlk7g65zlzTw2/iFMMUmUbjvtYByCG+xHse5rI8GO
LLkHtOqTbQ3gBxZ1HXeUDJN50+VpvTwMX8WhPUweZVsUpuKuCC1KLUSsj7FIiM6juARiTSY55eZU
COpOVYBC5QDE7e+wOlObGp4XdGOTXSADdTc54RCotK2XcrATaPc8bpnkLV2M4NEko/4YYdJai/Mg
8vzpzqsohUtMC5NcvqvtOflFXhBTTOsU1X2aU11POKsKx5MBtl0knu5pEmKF54oEBu8ppkSXnh2u
IAhtcYcdYor4Bsl2RlGfxf2WULhuvVDuA4lgOUgDIGQRnTJaglQ4d/x2jV1Ns9AmFGw0Dz5NRGMJ
9Afh+NY64rEsredcd8Fo0ngkmUV9DIhEWUgebam88wu7A5Typ1F1LoXqYVKZXeo0NfxfE48xwN26
s1lS0PmYtbZprPRzpiWqEvexquMrpBlvJBGWaz0HmUcT5fSlvhK1tFYW9T9CXdY1emi86VNy69GE
8cejG0sAsnSp+5APw8gTQtKfPXpyg044cNSlT68Hr4g6gMw5nKU8ei4VQivNQ6tKhpjaAf889bNx
oVNTgAC9JIeLbApVbmSjI4miz/2VFefATlwAnyI3GAtSqWhy6balXyfbrvdjGAH6qVCFzaBKHJNa
Z4nCV23OLyU1kKaKIWOa3zVVHs2wVNfNiC2oFWwUZ9y2blS/j8ggcaewv6R6eYg95yir6j1eaERJ
78nvWbDttcJ8IKgoX4cVf43MDbfU93rghQgknPHg5lUYhE6/rxJuh6rDPjuyc8oz3msYOhBeZHpE
uHajK9wba+dig6CoJQWma/1vZk6O8NV/xyLMMHCWsq34l0qjPn9t/1gaqU//bWlE7hxO0a9Cxvt5
LAJ8jAGHTgDEF2TsR2lEYJ3gQwZjClIofpGE/SiNmJjACGaQYRIn9OV1/QtQJqyzv5+L4IuFmazG
LEQSYWr9uTQSDDzBic3G2ca1ne4hvZrMCOr0KoGUJ5b2xpPLE8IhHuwu242R/6TFsl3lMPVs1rp+
mDHt4KwhbAVtWNncOEO584V+7EmbdCD2WZD7ln5vJ9pLCcwvjDjOorOhKH9syr21Y1NIuAYy8LTF
BOjMy3cmAKj3e9pVUr1eIKGRj25p3VaMHbPYfD9+8QUBDdI7WptasQcRNx8XRSM0cWEJtD480dlj
oTEczxv9IwZhOC7mdzYTcA8U3ZCa5C5XvEN2Ci/jrD01C1DDaamZkjgeWVX+qXDm+aiJ9BYBnMrn
gqQ4gVREUMQ/DNtPJEqCf9i+N4MB4REOY2LG0EMVmzFXlEaAG+96+kwnKVsHujHYaXtsuK1J4Ajd
rgk4S6E92qkiPxbSYqVbAVTDQ6XYkMYXJzKeQFHLYoDHOBXpHlxLzVhD61fYQasNujhmV7qvPANe
tqUDTvFQDuynHCbxAE3G7gazqMEPljU3Q2klwE4IfOCA4VcFpnnVNujLZJ0QpFPAushr57lcGhYM
PWhh0bAnK8uWsG91104+KfahH9r4w8b5Bh+2IEor0YOEjYIsnfLCx3yx4qKNr0JbT4KRbFG4T4O7
mxrUdDgnCOmood6BhLDCnZH2n6bPLquWNWsH8kn3hqO9DR1/PrIf6w3IBggqNaKYGI/xHsTZh6+V
NmDScdzgiGROobJY9b5dl3aSXXsWGhSDfOFVqjFn8A3gpCKziD0aWnsH1eYjnwx/BxwENl6jEcm8
lNEFvznukXAsXr0Sf6M5x/o+1MlDaHV4CAX4J6ZQXdoEhuvSbcPfe6tmAltK8uRXra0WGZ7WHEe3
HI/R2Dc70nO5NFTmYQXXZcMfT6zC1v6MkS6vxCwJ3xLWTnFy5EpfchzIPluqxvPEmw6+iZkS7L4x
Z23AlMVZ1ZUYNlRNhsarLJwgKeCw8MxFFw36hf24pEW3keRy6ZvJ8tgwDqzyPzOAM3sPJOFNSeUX
wLxoj1246LhZKS0afbrPNCPCUJzZqwJYJ+br+nHW/GitL2EHpWwsUYNM2JvbFy2qn7KyoE7yfESI
OUOKIQe3muguDIg5eTSK8jqp2/jb7OPQM2Uk8RV6MEwq3DdLfxMXmDNtB/4gIZf1we+dDyb639B1
bsfIk+vJ1z7HpFNIlvjF0pILTNvPkzO6O6vVnHWWN+oQ8a/4VRx6tp0lz6mmBIJd7t3rnn1dG/Ki
Mmx3VTTlydXFu+n4T0OmTQHoq+tuabyD1zT7cmnv2sV/qKUTbvSOwqbuG6jnc7xCGDLvLJMJYlJQ
9XikSbGkQsQibyO9ARoWhdWqz6z6aOvLKwM5qLGFuY9LeZG64dmzxittsupgBqbIk8LSBHw3tU2c
sQfFcPuWeIwJnbRL9sR3Y4oTvYXpyRcXDukzK+GULciX/M1vbc4svS+wG9XX5ajdMdxUAI80vohw
VDJeitj4zqPHS6L0mzVS5qgySecux+gmZyvPyA+Xaa8enkUP6b/UN+0qW26SMPZ3OvCj2yxqqsAz
caVywvS7NnHojOzJ31XCmDdLQgcHrCnjhHHn3dQDHw7b2MKtl4uNvyQQWRr7E43sEqRiOWA/PTO+
O+ZWcmn3U76BSGvurBEsi6VX4TYlvnMrXVvfZWFInh4w8r3pTDZrREp4ybYsxBy8M62Joz7h1bIL
RJc6omnJCrJRUQ9nAMM5pfSamfdY8JPazcDWfECR1yeGw1qbkWyS093WUReBqkRoxTHVr/5b8/xS
87B6+ec1z93rO0GTiD3/JJ9X5cf8Wu5A81bVBOwyShfIPD9NgjyHIdGPj/BZP7ZAjHssh1uZyxnp
p42u8zeTIJ0yyIDM7fHgsD/6K5Mg+Gm/L3dcCi716tClsKj6fV6IlQwFjcg0nqfMY5/KVmiLqS/Z
VIma8k8d0++05bm0xfAyJvmxankkHN1zaVfieB3OURuEhWcQ1OtsEBDSV8+Fu3b0WDvq3fJqh+Zy
YpP7MTp1S3ooWK2KFTRLW+eqUFvpebBqHtehPuFd2ySsrgm134w6coOYpXbemRfA0D7TaX4cWXq7
Ij3XLMFdw9wTQs2WOOFuiNWmPMkMHPlqe87GokVOzhCFEd1H4oqH0dG+pYP2MarduxuCAptGFgRF
mX+vc1btqa6dOh2ROtkIEHdSVJuD77zNarMP/MlYZ0rvMqi9P8DjR6mEAAgCnBImh/ulEVBqgajZ
9dFVFB+cyrqtWwcCQPixKKRBcY3mZwxIRTgVTD2WKXnKa9IDkCTIwr4flEZBTz7nSE25ES94hAOD
weAGGxA2lBpozFlpHfpMZtupgx1X+5ytDZKIHIxQ0CmVBILDZG1lEjyF0lAspVjW4CiXdRtCnuNY
bAOB6CKVbBFyzdqR6JDcApIwg4n1wCqZmXIYsT0EdklIbKO0HFzhwzrFx3mB6PW2bCdcmkr7gdbt
wHQoDhqLZbQA47vvQ39OH4tIc6Mrs13yJ7hd2A4yVPf8+oZlPVmUs8MUU6nY3meLsXWSw1l2DQ7y
r2as+2rMGhIXv4PFcjUAWCgVY2GEWxtswNnV42nNbYWSxZyLbSXG8ipfzPgBWedjQ8ozygP/WxpP
OZd0Rf6xSMxAq3qsErN37xfjwcrJlWzCHk8sOtXGMB60nuO3Z5q+mcKl2A0jIRy5yOuV22KcagsW
ciQmrKx2uJpgq9zzDkBWLFz47XU2XRczk0GvH6t7dAlvLVapo5uaA0su+VEZVAuLmOGQ+gaioZIq
QkcEkmu2Qc/d9fumD5u9CdfhrnZqAJ2lW9ynJgiJyoglIq7qvvS6oOscBk5QW5n12fvJYWLVh4De
E8VT7coZ7gCEVc1qpnWuqKt2DLUBVxba0jh0LrpZfwWaua7l+Mgit0L0C7+VOzMJIuFT9U5CO2ia
Dw8+GaGPL3UYxF5X7ODppe8pToZ9BoRgtcCfT0c57Qc0rJumQ7cVNIhQV47iy46KNCtx7155w3xq
mWGzNsKax06TJzMfmi25slPQmUV7pXkLId1GCp7DnpbNv+s++s+VQtrM3//5VfOrFPK+iQvoH3/s
r9Xn/3rhmLTKuAgEHlnTd37qr62/OaZFLJHK7ULb//fbBrg3rgJyzwxcBpa6VP5x2/jwpWCDeWiw
bBQLf81g4Opqr/CTCBK2pw+fzoRNxeVmq9voNwZh+CaTU+MyuC6MSoir1lTp2LOiZdrg2kZys6dp
YEWLAua9HkiVLqG+kQN0B7lQriz3bR7Q2Fd9RIJ4vq2ruKDVgB3bC/ekd6AhtQRNGmhj+ovS5yCL
Zrk1K6dfySo6aVqYKvVVt07C8tzO3XdN+Qdsf/wuKq3cSBCIPXZ2eJ/xcRIL0kk/udKq+rrRSzso
pbWwxnNAPYZ8zJ0bhFKsN5u+UbCV7ZKnrM9N702bjK1kW4HuK9q7bncqlrRepakaEdTjCxr0h6yb
s3WSGneW3T1Hnm3uGOp7O4N64BwREscklpUCHX+zMeboFRx/uWMDjG6IZ43K8FyKOiP12bxjklev
8H3dTKZ+kev2h+jyndUQKSziozBnTBTAGSaPTAK/41/7+1xvnlnAHMpJAXvS6LlsnWc/ebNGjPnC
em99/70x23OzxE92Ob2nwssD09KXwLOda+54ukx73OeSOXjSaVj7NWQecxrfURCf+ko7LVYdKrs9
l5ZJzW1DgzkkBgB121ACcl1cq6TxY636bVuTLspE45hIJ9rRyDvbOsquaID1jddOD06rXZhj3bCH
6C68Ev6l7ufnahb+ek5r+CpVYQIGHHcexK6giXsJhCfzdqkrGxAteOycIcS825v4DzI+6s4mMJbx
MfRciDz9taP3Z70ELMYZWO8aBsH48VnXpPClMSYgiRmjFeJ8DHF6c+DwRr1uahApbCtcj+VwRMdz
Irne5F82bwnXJPK36zHSD1HiQqQykx2j9Ye8E3vfmAqkLs5DR7Ok59FjW3YfsMs1okoIQ7J7R8m8
fLnl5n8uEqg6kcl+wK2etJ5BQdaOD5pPFcCnZvCVtXpjDendrJnzhlUWrESj/MxbnOVxWV2J2T+n
gtqmmyfA2uV42U/DuJm8qTy7Y457JWk8MpBjEFhKR9P1CPG5RF67kKuBniikXCF+yEqTp56hbRY/
WJ2R8Q6M3Q3PWiDEwH65I3+KfKBixSSn2k+GGWLHBrtTjVcCcX6QJ3RJi6bdzAPJFHNRL4Fr5qdY
YXARKTjY9qxmPUWLCjp/TXFQqvfanQB6NH+mOuktWkTl4bYba54gcZFf7onyEXHVJ5Ju7CSu+GwW
/cVvfUbw2aliYWQ6hrsCLCQ3zoxUdM7rW9m3r5lgGEPevVcuFwK8yboxJp2oZESq7PXpbOdPs22+
RVp/HMvuJqu0KzBwKW6VLljS6cryh2kN7TZdkaZEABrDaGyCkpVV131Wih2bTaPJIsJ9jYkoRP2l
Y4HQUpwzE8Lt0eMypnFkRKJ5kFDEM6cuCV5zA6Emc9476v4VgvQ44EA+whSZdlHb91u5DBddaAEb
aqJbR06vCYRyYK6p2HZ1i6ci6ox1K+q9Q14qsmDCzuR019mMkIDVbrIJQhu1nLkpCrvhoSt5JDyH
JQROiXIKT6Xa3ok+nJB3RXdM685l5d/5odhb08w8svBBsczZbVhVpygy6m3UedkzykTK/3G41Ggu
qEvVg20nTy4+DPaXY7rlWEXYbcq3qSAMoRcx3p3iggP9dhblsK/RwyPt7G8Y5gAZVtHgxOntpA7T
d2gtTEEOqblecSFDR6zTOkO7PtzENksEM2GmBqqH6rQxNkWU8bnDcGez9dsvRf/WQl1b+dR5K7Mw
JbVYreFE0j59YXBfyCbeeb52Q+n25lg823UG/VTkaqk6IXmCAVGcdOYQq6asnw0vD9edh4w+n9lc
/S9757EcSXJt21+59ubR5iE8xOBNUgskMqEKYhIGoIDQWsfXv+XVXd1VZJPGtscBrxmHbBoyC4mM
48fP2XttgFiEliH1Rw9jbGWZi02M4WtDbvsbm5FHdk7WcvDzDSscUMv8yRccd3AGTRPBzCiCDc47
PlOIV3vTHHZeYHE74JbBQyPZulj9AzHvNwNnIuFdLDEj2bA9dGSwpJvi6+aqQL6Y/wYCKroqtRn5
shWfJqi0CwTuwzIQNHFagmq9nbYKvywLeYmD8mPUebnGip9sm+XiUCODtbv8SjftihCy+cT5Py4c
J98JXd+3aVkvrcno1glZFk9VGqf7Ron6DB58JhCPGiLqNmq/DlW6gfTzwGEvACSjOeX83zdRcHai
6t6bkx3gkQF+NcCptCsAuVlk7MGBdnKU9kVvobCtuXIYjvMejYW2yuoiWFZFOW+mwr3V/axaS1BT
9KVjvi5L8tVYOvl7UU+vtsaXoQ17Y5MkLhsjhpGurx2iIHgFtLoKEsaJY1wiVC/4eae8FAl0wMIT
AW4m+Q62z9rQzz9bgsliXNkX0dlfCgzKfqlEcIH5GQvSPMwe3YFh1OQqjDk7Rydl2GyDuhaQL9cE
IrMFjiYUVbP+bDf9tWcl0Xou+cPWELFX4UT4T+zgobC1+FXA5EZWHC7byI+XVV8eo54VHPrl7TSj
Ne9MwFWdSHZx0I5LdpucdyoiqDLQVxVxDdbXc8m017gBukG96XVTsELr+1UhUDMns6qq9mOG5Zxw
Jl8us0q7D+vhofa8YpFH3rIY0quu0eUi6FyWbU3BLNQK71pkV2u8mvsORTZZ72gq8u4SpCTNmU1L
KGSpMZK2eZ5MPFJjoKUrI8n3Gp0TD2QsloMB/ZC4RaQVPPZ1yBES7yobZ95cRR8DqkGttD9tod1r
wJxWTgZbMvESbNcZio7UeO+n+uhxkkORku8NM3KkmTWBRzpmR2BCCM+RiNjJY5BlqLXH2li6nb2M
tWwT+G+AjK5oDJhTcj9d6F18KJUrpexi3MxRsfcruMuumzwHmiwxQMT3eu1ixu60WyfDFmkASbS8
4XFUWxY7nJHWlUW+rlpSYSZJKgELdH4dhh7IMGtrXRQWUrbi4rpTAbQd2jjP3SeGQzR/ZPStg8Tc
ME94Knse3bDWb1g/1tAkzJNpRy034Jhom6S8syP+RhIWBe3lSJ2u89No1Qi/bVR0bvseZ2CUQRU9
VmNIDerEA6E1h3FK7w1w8auhoaQ64q3vYV+7Q24u4FsOqyLtrsqm3uRidJHyYlTwSsFl0Y4/PHrj
sGfXC6j9Y85qrDGMjWFt76EQPUVs+lsnfih7ZAENXZ6TUPqg32Oj8Zg+F2nEP7JztmKsP+2Qls4p
RoQV9Hx9jK03jZ86J9/7DFmRr7+SjvYWt93ZsqoDCDt9FWQjcDCEkcyNd1PlEPyor0eJqMWvirux
wVZvASuRGtfumDG1CbgTFMFkEmrF1osdzlU9FnvGVMtUwgM7NLEOmDpwjOQmzWf7acL24l5Xmuz5
D7It+9Xk2stOltqvfJj/yuAU7uIfX0aVHW/xUeev9dfoz7Ie1E9/v4rq1i9EHLKU9YByqEvnH7NP
FQPBVYgZp1KhI3T//TYKoJjwctPxEKjb3EuVE/77qtf8hUGqSsyRyOQc6MV/ZfYJAudvbqMMFFlu
2w5+LBX38+22+sNt1BulVnq6GV5riWusZJ+1a5f54d7uyf/uaxOed1u1NYjISXMoasnMeBM7TRM/
wAxGwj3bPUKI2rBWeVUG9JJESvQ3NHrF9Nrplk4RDMZq7rgapD3e3kUFu8QcV+a3jL3E0at5z7Ky
DpptW2ppeOe2lL9aYltd5BrUZ+x/c3yfFWn/wOQuNpZpIqa7kKYkUkU33JQlF4EC4MeOQFGUN7Jz
vuR6zzp0Qur9pURQiwFVlvO0tHJmXkutqfJlYpbuxUz6kie3ip+piHIHQ4iIB2RQPnM2PeAO7sbR
Cf+22xGvMHNfcCPbX3qFAdVfZEs2Gx0gMSe7duy8v80MG5Rgl0CTj5y833Uada1LK/fF4NI/o6b3
innRo1OmyXAj6WBSTp1bxEQQxuc2i3Zp7czvmaHBKQ+sqcmXk8CCa2w6T8ZMmSyzg4fr9maL3ZA/
SLOKIMY/wxbVddaZJAhasY6Rcs0yGVXgGgLu3KP7H8x59uiz2Pytp7IOtg5j6Zum7uMXxIXNjec0
DkEGts6oEkDJfTaU157ZlGiJNT7NS64FvVgHjdKoB37RVfvQ0Dv2W5ERPyeQVu5HD6UvK5kOc/uQ
iyjdCTNvHWWN8+N9pdfxeMicyBo+7MENPjw8qlt4sT63z7AAgOhBNWy0hiWXBg4scaPmKTT1sj5X
3EiR1bX/to3Nf+6ETKEo/nlRWkUfwZ/tYvjB3+uR/Ytwdbafv7IylLfmuyqXeoSCRKG+JLqPb2ad
77sY8xf0siTBMAeDogc3/Y96ZBAVZjExI1zXcb8VuL8gPfkzrpBlwvkwTW6GWJnF30zHOHvDJgS2
egLsxiZWkiwdkEZny4TDk+8lxpl+dpAxAFQ2APHm03zXIScN0LddmeTEvCZhvjRbvPyieomdVNcv
uEkAccQ9WvdF0+feOSva+RCYXRrtq3Yy7vFGa3KvNwKrnudp7TnzTf+QTLZo10aSxPpd5GAAOFKJ
0uYdH6c9nGqzrOWNipLs7Tz9QAaPiCSPuhRLParcrYhBF3iVG/W3bTW1eys1GCTMM+qwta/ASLPl
YCBwqlAcDQVOqqsqJhEDTvs6HL1qWVd1u+7EFB25xVhXvj+X3SL2fO+1a4gEYffko7bD6j0vIdN0
l9CQr7DaXkCnvsc2VguQaASk2vKjbLMP2yvo0fussr5CFQfjDCi2CoZ9Pgu5aROtexlwGy16Q7DR
GpJOB3oxsEpH8Puoa8yvvWTw38fI7neNmRv7kGHklZYYiJX1GtVt1Y37uSyrraWgCjXzcbrFHKWA
i4qBZTIaWsTP/HHLlQ1Npxkaf+W22dHtvGIp/do5TVLO+8RiHRYZwDgtL9xyfeICEdD6m5MbQ1AC
HeTkyap0Pdzaoca8a96lOuYr4FBbXJ7woJssQdZJo9tY45MVkpiYDHO/4CTdFrq6xXOl4P47XCfm
iFEjZD/hpXJc1VwwsU+UxhlmSXIHoMq8zW07/4iFVR+yKsof455ET2SaX3PmOMdvD+u/oZX6Dy5I
rGT/cUH6fWSv2qWrLmr+5/wWNeWf1Sde5/f65P2C+AyLn2cIlzE8z//3+oRj0LSAz9ENCFNp437s
l+iV0Nzyf7jUth/rk/ULSQ/8GIOw36raX6hPqvr8NLt3SXmgRFoGrweCTXVTP3RLNTf8hn4tOIOC
XTTGMbJ+Q0L9QzymZf/ckSlOqWuqvYDNBMVx+aV+fo9ML4RXptN4Dat9z4PtbZjFxvXGycbTaKJ/
QYY8NVscr6CItRJAh878/85AHFzwSHn2yakdr6FD8atTV2suidAdA46TbWtiXFsNOQ4rUer4bjD2
rAvC6kr2oVm2hvVKGB7N2pb5g7EedFvf4sit1k0xxFvThvqR9/YldvJgS9SoWHUF294IRgrM2rqI
tW2ewdu8y+s5/MzovTbmr7RYF9HU2vuVIuul/K81qw9UzuE31Cz6b7CzZTVWNy0qEbJG583McGKh
jeGTWerHcAwh0jDqXXBX3pt9tQW1eTV0tr5wWu26C/svMjHvK6+5q2GAk/z0xZZZvnDtintpZF1x
710HVnUFax0yW5CA5oc+FIz2cVDDXJG5iz4ocMbRvgq2MXMxHWopnss4hkOfOkQ4FNW5JgVsBxmA
GbJ4C+1kQq6LqcDyrZlJlI54qUhXk+etp4IoYyBI2KEsQqTacZRb9JTzsZrKY+9r2zFLdi3BXdss
lfUqMmdGcyUoqOiUUXbWvkl2AzgIci3rvV9HtyFJXgRSynwVaAlIBCLKAqwMeTPW6zrM7oq6PYYm
KhfGY/b71Cc46BnvL1FlbMaSr+qoR2uL7pl+LF+hVt+PZXUaLNJCdPKL4Um7FGqWB4sglnfS4jpv
jhaQfqalzAI9pIu+RbGc2lNl9wwSPRIBUCNwFRYflt19hTPnkp9jZ0fTyzQuy4mMbsqcnQlBa5GE
NY6F1dG1g8dhumVH/85caj/bCA5056GlkpPQbC9cHGx+4jIA0q/wLd70OSYx9tdkHa0b6MWZDRSK
VICtS5jQqjL54GXu7BrRP+rKZFfKQPkQXriTnAoBsT2qx4NMxWXmRXs9P2VY62ZLR++ovRoNJC1t
3KMQuDJ9bec5X0b/pXDnA2hydyPjYF078oGJFrOC8a3nsO5atz1acJulMV0Cn8u+aSRorBLvGbPf
s4lnaVUP+pVnkUg9WGdCc6fMCpfhjKxLztWGCLt7d2werKQHbEWQgAyDi9WXxgINJ81vT3RFkeyl
I4AG9vqXUgvvXTd70MoCD8WwUXQNwxkPlacdxlEgH43tA23DNrUZyKHmW5mF3u2tzmpvrSE+8Psd
ZSxekJognjXTaEHsCttAs4yvAVslu1HLjOdicJ2nxi0gDY3T5LOm8ZPb0XcaNpGpjuDTr7GYtuGq
0hTyP0VJFbbkUVSGRsQ4j8VVX8rourNmUkTSuvdZIbJv5AlDfEf+uocsxK189222kemH0v6iNYa9
7hsbAArxlMiFe6SrXsOXmRFxT6TccXLB7weGvG2FABpYDdUq6EuX9U58BAZ/l5XJsIiHAmNT2eDZ
9CxmuuR/sJmsOlYuzshUyIWFcvLLkA97hg2Q2MWbFUBUtPGR8Mh5/I3kvQjKhM9xSrbBFFzFyP0X
U+LfAOB+60aPNSkO5BgjuK+JO1yez6ZZvpCfx5Uz3vVx++nUwzmVc8wELqRRGdJnI2ZhYTsvQGYY
VjeExen0Mf4QM1BrcjR0xDE0vlxNU4S3wlnHlfE1s9txW8JKj/P+uUcHK62WeJSoe2lanEY1f+Zk
ACTnPOp580V2YGv0AprSGN+N6XSVe8OurdD+aEP8GITTPhp4RMfx1PvZNsgIjBOpfdu28xkVyfMY
yusCT5Zr9Y+DygsdgI07ZBf1FjyUUcBKtjzsJ8kLY0ssTrHN+k6i9U0Z/bVutA+akS6VZKxlLO07
KI58gqlO45U791UfHVqTCLEmEs+cBDBeCligWOxBSLS7Ig4eJVOvhSnqnczMNeUG2SabpZzfPgud
K5JvSOgLDjr2EY/hlY9JpHSTM2qwXcJ0s4FYuciM5FVztZUcol1HJMui6vxX0SYHPutVxJwc477H
hmu6aZj6LWOrOcRC29XSfvFFSQoNHWbb3/kE6biunDdIuoiSjcILprlPX2CcmMiSEVZMauEcnTyZ
biu/us/yFnFjXuz6oK92rpepYA2V22cQhhK92H5xFDXzasMo2k2eCX1RWNZwEQbWPJdUG1YJ9VNO
INtGE+5ZoKflulxVCh0GYyscs4207fcoZaxJuK32NJQ23xeGFusJyeTCtKL064j8hv1gFpJ0Nhmn
IWz8zx8atX+Fgel5lgn9kC4EKQR+zJ9bED2RepblvnYdx6RqfEm8N0tu///e4m/ueRPfYjtBwsOW
iaUyzJ/yPMaXf/4ezNZ+6NZUJ6V+DVsBHtjgSPNvfg0DiySAMtYw7EQpjue5JYXgXtNW//xtGMb9
3dtImlZL0Z/VJO/nTyso4sl0kj44dwTUVJBqGpI4tOqhsy4Duxa7AZUi/zt51b8pTi3a4X/tTtG+
/s8yfa1fuTvkXEOn/df/+3/+eI3v9wmFGWHgwbRUMk5QpuE/7hMG/5eBehQNDiDSH3GjCntm2aYg
B/ebRYc/6ff5q819gtsHcQXCZHgK0uSv3Cf0v7PacF/B7IOIVUreTf0jfrxROHqgp2kti7PhAgrG
DKjIIIrcg7UEWVqg7wc/2aTmtM+znOkp/edz5jkHWoWN67V0YEjbGcjFUjvPGvp1AFns1Z3iKo0c
oGFR/WUSbNnZfazcRgkqtXbdT8n9r4Es7QxXCYFHXsTOzRhg21/Uc1yKNSEfZFS4khsCAoFrOJU9
2yer34Z+CJZBsjfKRUt0lO4hDK/RXQTEbZB4N/sFXYaQxa6zh2yl+fjzJ4iO04SKHuuZXIUjWbh9
Lx56vSUpdVoPRtsAtGIBjGSWVLhavhPDhoYl43UrD5UTsvVvMCaMNHn87iGKXU8+UZZdxpGbTrSS
ueXv05IwPFbq6yIHgCoKMz1KqQ1XBMZ5ytbHhr+OH5gpcByl6AXqID4jK11KJfUfZqQEdof+rMJb
kFQP6ppXVvqwYEd9ZY24M1H0KIhS3q1yLS1pHkS19JRINam6U1nGAFmnIt3MvYbAUh5kbhAc2996
COzV6S8X86DvHBNAJkKhr2wtT0E+X89G1kP4AtXZxfVT2mpLX+2IAVRfdaGLuAMlGXP3bqnNDCyK
xOesLTiWyjY2V6lh7+PWvkn8CW0Y4ZUrYw7WFZv8zaAV75WBhdsQDVwLjDuVti1EBoczOqMCOpom
R39mNUdUZuTQdM2liux24SZ8NIImbG1xJDZ0sk3cbavKPDkyBGXnFRo727hg8JOvklLb1rF2Scai
OaHwavnr0UZ2rn3L8XLiIqtyspCMWJnlLFmWlguzmKNFarUNMTwCIP9Abx80TJDJMejj/BRY/stU
9dMmRQwWcN1eyVZ8sSqmeWblkKkQr6aqtVduFNzgf7nSR0WKG8GYeV9reyi53zR8ho29D6pIX8y2
vGq75hwVTaXdFIWTzh/TmCY7J8sYapVfcBhVOLbAdyr2Wc5C8hC33nORiNtW1l/dcmIUx5Z0DjYB
RpuyGQ5eq21qYRyLNLyOiuIwxs11XqSXPqc/hlWLttbvhr3ty0/uOF1Mo2pa26jzHeaWeT8jzplP
QVWTZsoucYOkdVwMps37WtsyrbeDMzdrgCrYeMxLLZ8bTDnsPb2HHEM6nN5jbdQRrAwJe8tcBOV8
6WYDQByoLva0NxS7RQ1BxQDUSeMFRtuv/Asb7Ct2VNyIucQUXXTr6I7Srt/NmNRxbnBFCbHtLowa
cqeVEdrrBbq5gcUdbczE3oLjDnYVnQnNTeiSL4xHSOv45pACyaqGNPFFNmcXMmyfHCv/LGrxNXMN
yApF+mVmOCv1RHlbiDKUJnF3ovadhROXby5rkisIyyfSdCgTQlyyIuNhcCr9jFfkw5xZJRPk8dE1
wBYye7zFIFfuzbx/oQPeVJZ4miLnBAtg46k1ejbyvLhWY+FQCR5zNhNMAFFKuxNUM9R9ZX3xovQo
7HgzN2zkZeVfx9BUViQM78ji9g4Mgx9c6IG8c780PeteFwhdQom5fq70cl2O8biuNOM08hhcnMK7
lVOzI/AXx3faY34iS8coY30RFbiApdOu+F1pnBN0MR5hm2HFYrmdMH4TGLJm+/MZeO9R6dw2rXmb
8JlwDpAFF+Tpok3dC/L/jSCEjBKWWAsYbmAl5oEpbR9vw4pOOopTD780HFtejv1+tZISRL0MrsOY
2Sk3sf5oaXq+5g867aQx3o55utKzktVcESH9dvMdsULcu2lR9yMRkr7GDgYWERM1FljOi2jmiPRR
copGAG2BNW60sLozIhgQUGdAV9od+CYFSgia98SAJqw15paRKuuuqjoFDSQ5wyjvOjleWWgiUGpX
2w5+sEzKay5x6b7UBwI9x1uB7pPw04k+2DkWlbeDuTvch/PUbYbO+Eg8xOON49xwUcBpn7Ic/9ZP
/BvmsP/LyS4Wm55/3Fgxo1X9FHP4P2mn+Mkf2inJllCSI0EHxDT0p3bK1In8ZJ3suu43RPv39ZED
6g28mucRYMJ0Fr/Oj+0UqyWMhmrX84338hfaKUOy2fqhF+eViC5hf0XQBR25+qf83E55vlaQo+AS
rwdxcwOduQY0grkjHfPHqDbhaaicvsbAb5EmGOpJWNxXUv/sORgXRZYNBzLQTJzMCRoQ0e2CIlhD
kZHIQAsCAPMu3igDXOzEb4NfAz1TSYJoORQKknRBhzkYLPbJu4RV9iBrt15UgznxNSdTMYFcGrQA
D6JHYvTuOYbzs6P72rIY6TI6MCRrwaDukKXho29hWk0874bTeFzAM/zQtbrbBKRC3Oc8FTZPR1yO
00agCNOa8ZZGBcw0DxJj0uueJ4t551aqR63nmcuc+i5UD2E9FadGPZZBa24ToqpAvjTv6Etm3BBB
v3bU42zyXANwu8MZsQH2QHiDVS+auo72PbVA1xErD+Nw3avsNXcm6/db7RixJKtqMibQadJaeYbm
W/9bxVG1x1FVKI2Q6GQUJjDSB09VKoLH1jOlK1Y1LFLVjJK0HVR9q1Sl01TNIzEKbD1ZER3l0FR1
ERUudiQ1UKFkAkrFlvPVoJA6vFynKmukamyoN69hl1uYf6i/FoU4VhWZ6Ze+4C63QFOA8lDVbZsC
7lLIGaoXlyrTT5Wq8UJV+0jVfbapxnY2jHtLnQlJ761cDglCebwDvRDAHs4Pm4NEqBMFpvqGKMQj
yubLwJHTplgcOYIKdRbpMnr01OmUq3PKVyeWx9E1c4RN1fRkcKTRIrxY6ozLzP6WZmZe6Bx/vPOI
lzf96NXJiGsLbp8+XWJ1avocn546R3uzfiMX2lmA+jIAi+b2S6hlzrpykBCgPG5AFc0bmcAOgcCJ
lrXXnEMZFM3N2BSG8u0GAPTMstIWLChoftzh0KNUdH1nU5fjTq3sJ2ni4vLrZ89Cw2dNOem0JW+B
5xlI7K4eUGt1ko/YDXwivsL5wSwLfYEOf1iapXPnVvax1aePNKySFbOG29QPg6M99+s5g8CGUlf3
0OwmNuNdqHZf47n0oPE6X0cHUg+6OeK1ejK2Cr25aZGf8SCe/ITQAiZxJUowmloQ6cD5GfoXs6Kg
ud0CFgc/MZIHgE102sS6/5mW/iWtpw7ERyugyXYA1Dts+hgbjpWRi/Us7GoXdDO4lx7DXH4YYgPJ
hW88x/iXF2hI26vQ0sTJRL75IYSf3BfCKndp7zL509OQ6c6/63T6z90SWoxd/vHB88eWMHxt2j+7
zPPjP5w+5NLh2qJzFd43Zujvy0GTWBFu0jhFhaXgoL8vB7H2IBrn4FFHEHZSwQv+dpkHqWHQ8qIW
hX1u8eN/iScqFdLj59PHsjgAOcoYNhkOK8yfTx9DvXmZVin5Hg6KZQusr24NX9hWkXVQaecyZJZN
K3VKUmOkFgPYn/BtuzO4y350P+jKmTR691aSE4SpV+RwmF65aAgKL1xz56YdtB9/jYV8N3Btysjd
WAyMCsk7fG5kC99h4BbIaLYZ6TIdJNFt9+FgORggZrca8L1JLylt1rvNpi+YwNiYTQH7KMq6XVzW
OwSyx4bFB5TRzUzUKYY6IIOyJxW0eHCG/nowwo7dkhVtMXu8pjUcNCGeQJHLjeP7HVu8DMU16MMl
ShOsp3ZzAK/eb1y/hN/HksWM10kY38EkLTFDcivty/Em1xVYwS03g60AiPzjjiaEkuXsDjx8OYp1
atjZM9OvYCLK7WSgT41Ql7Lv8u/rtOBR7saVyAeNghGfEossqAjZAJSFMl2GpSOXzlhMVDd3DQTi
EMqWVdqQPnDB09jt57TAxU1IgMEid70D2jF41bI9eblxX3GbYyxzE42Rtu7UhoOh4lbM7qeuqY2b
kd+MIbMay/We41i/nRrEwIy8HRpnMyPy3ryfs+g5Id94SKnZkZsw+46ICie5Oq7EJ5RSewfi0VoZ
UTetoYIgQfPNm64NH8OYf39AxgQiODRiNpmjnc3Oo8xNa5014PDjBI57uhpQ2ltRg5Gs1ZmBRLyP
GJvF5Hs5XUv4hNv3dqyJMincErOSSQRpgFS8yiFwthNs1QG7/BKckse9ILG2WdGdi8JlyeDzd28Y
R+hjhV2nfNa76KqNo6s6IkdWC3Q2h2jpwYVBgvCayVjiqgXc2JZb3yyuEaqQySwd2hJk8UETXYu4
eK7iKtpUKUtBQuBXI3Yje+AfOigBr57ii9DFxTCaZSkHpS9BGxN0+yYvHzqt3xZNfgqLYmPZI0jL
LMLl3PTe2rIHbrFpyJhL9E/sLT6anlSAeNwOUTmxVsErltvFWUz8VpNzKaqhRXvd37lJumnJ4p6v
2/7ka9FmEt4+GPOzLvOL0fs7ljtnLFnA8qd+a6j2sCNNsivCmWELQzubHoYvaOQvbQ17W4WSush5
0TyT5RL3e8akCJdZJvrPMBmT1ZiZzppQHB7VpHkboWEPhQs0f+z2hVbB8+s8b6vnch/qbERmssy5
PE0momtcKFtWerSkI74ruCTDxtNc7ugsEIMxBPPrJzGgc+trJ9kadWHytTD7J9SX77Mz4HRp8GEH
5nCZOoZVaGbAiLd2u6Yc9eaSpRKRuqTctkdqj2LelNwtxwqyfJ61e5kTYA0MFkXRA5krLj4VTOnb
zpqwaA1VDoTCGet57Xa4idZurlnI83vDdHdETEzlojYxNV9jf5y6O09kens3eLVmHruxK46DzNPw
CdyO0Z+TttwVys9TxuQPFhYen0i5fSoQGzr2n0b5gNpkPFio8ze18gi5mn2UzhitGLFaADns96oA
nZG0Nng7TEaJBr4n7Flw62K2D6byIiW5i1xc+ZMmWbyUvvUaxrWxal2cNeZcfQIh5fYfKiiZcjoJ
5XmqWwzGEzaoqWxWY+TFGwZgeLzqG83vjplbvDCD+Zw1kwZZmZwYnTKekemyMccDWzkpgO55Tvka
EYON7B2WmQGBg0EzHVs73AkjvvYxcWnx9JyGxues4+5qAvmZ9NkXZJUrbT4YygJmSTbleMISNSYW
IazCkYzyYxo6J5GkYuXhIxvwk4XfjGXKYlZF2CL4Ml7bjqIhSo/bBo40hufGasD7gpS0O81iOnpy
VG6fuNw5OXOvhkX61lQ2txJfvqOMbzMzIWQB2n2brGYZPBrKIudaMXp3jXuTm3gDb17jP8JTZ84e
6QCQFVYm8RiESmO9y8ZyWGOrvypdTP0ID0Dx6845GvIT0wa4BMT6eIgTmqyh/2pfbW+Y1iB37ibl
90OHm0Ic4gCRcffgK1dgN+SPTMIPsZbwb8Q42CkHIU+dxXcAozXaRm1ZYzTE1/lAgd6IMr1KsrBd
GIG5M7EmsrXcahFeRcJ49tzZLj2hDp4s3iLlauTyem0Jdv/K7wj60SedRK9h/db7QOs5Elo8VIaE
UBVimfTkpAQl+TJ2jWrbyGhYRlZzTjBa0olscqP90mfkGCSwvi3lyZw6a1wnyqcJ96JiKklMN3gd
fJrKz2kn/ZZwcX2L8cTdt3ygSySSZ1EqBxSG0C7nulfZzK2wiqZ5IRCgcAgqF6kWzcFWG3RS0D17
OQ30zzVP2jHQjYutfKhagyayzUW2n5VLtQfEgk5AOVcdc29Z0SXs4i+aKNhX5oz8KXIUOCwRc2bw
SEj3YiD1I70CYKSNTTYvgkfCg2EGOO8zNtrRFpuygR6V4LANSnvV4rn1s/JJFO7OtOq7AU+uGWvo
KDDpijQ8Grh2A0SVnWN8eAkqTVy9wH8h/7XiLleG31yTcAjr8L+Dn9+2Yf9UNvxH/x01REwV3Z/M
f3iBHzpwC8mazoznO5Tlhw4cowLqO5v92K9Dnu/meiL/iAmVgsaNuRGi/x87cMx+yg9PoVULOuev
rNMgwPxdB85QygHsZpj081j8f+7AdbYYXVLbxWWsBU9aj7XOwlyJ6GfYhQ4lqZ9AnsC6EGd+CXEU
aUZ3aUdOsof9UjxFmd+cmHExZDTN6i6mguzk2DXXQ+KXX8sWNYWjTIdh6kyMKghBXZaeNjAxohu8
NHXWnqs4tp41Ybcb3Yc1s+SRSldz7ufXCWEn0OYwf46pPAc6eigjCIftjNT5AX+lfE57BjWDIbtT
24QOKUQ54nin05KNLkGumJ1oF6HZGB+F7NInKdJ8F0hifPLSb1570DvrULiw1Gtv2DrxUB/RxpU3
g3LAdrjzmeCXq37QLZAjGrHv7wXJGtZRx+45jRuUR90WHVWnfViBF4fXIWi2il62yeuzE9I3OoE+
hndh7FHuhw7j00w1coZrrKTYW0VgMS0CGYacKF+kfTkgz6CdiI62ltM3o42e3uLeqDIgTh7aaH98
tofUfMVZIgvUfna+YZIsD1MH0qUdivlVLU1ZThIQD0QNlFMUQGrzyz5445sULUU+z69+E84fdjQ+
4ebc5EF00BwGNplOczNI7NhaOeADdPVu2iaoiqh97XSVFCOxMq2XMFzLChRr0RBEmyZrTTaOfUaH
nVSPlhMxT/P0B5NKvSs1lAqhGPqFdOsWYF9j37lhme1bjcCIUlT2NbJtscoM3JVM8CXW3UZktKGp
96Y5g3YwUxwR5ZidkYZrq7rtyVnRGN6th7Sq2tXoR2QnaUWzn0o/v+Ua3NAwzPZLQAFczR6WtJH+
7sqJMbs2dIrPug+DZZiVnCiZi+e5G7UjX17yYJx8OMdB7T8RGj085Moz2RVjdKdFY3kJldsyx3+U
rnIM7A2KGrJke0wjLTdH2ayCmqNiGRCPtDN66rDN2io1D844mDeMVF2IW4Wtf5TKoVpF5Bh5FPkF
2S/y3zbv+N8+jUdR8K8MRQrmeH82FOHHfy/JBrJoB4QWOqXfUlN/KMmoXpjVY+z6dbzxnXdiEqgq
CTzz0Dco6YH1g8LB/YWMOIPXUlms0Lr+UlI0vfxPJdmVQkAtZS7jQk4hwNVQJfsHzTQr37RMRCzO
qI3QHkqXrbNp2t17HXfr3uIJFComUPNZO8a698VveyC8KkxQSuetzdI7R8UMIuVYdW1L8CAJhJ0m
9g2JhImKJqwhGzLvRShm48pNTP0F82mwJYijOWbV/2PvPJrbuNa8/1Vcd9+szmFxp2qQCeYgkdSm
CyKpzjn3p39/h8EWSUjXHnCBqXfghW2ROgBOn/CEfygOi5YNMQZnWi0dJtgf4gw0UYQfYiOcEduB
+NCq7FWKFMDIkWWhuFl3ZjbNpPE8Ev6K9GgvVa3GbQ3nRSNKMYGTFBRWYPEKd0a3DbECxbDRc80j
yJ8xTo5IX0DWMMLLSpg8lgX81cQ4SmTsH0MklgZhCCnn+hlKBfoEIZuj0cgp2zdHduU+5E53FKjm
N1WYS+o9Zk9e6gLXJV6jAXBHsXFeCUtKivlCp8uejVX5NcC10qPWg2K7VkxpLH7pcbZsBBsjQ0EK
dvjJIMwvFb6DixtmMOabSthjti5U7W7AMtMX5pkpLpqusNMswZ1yEJ1VTfcNdKJg+KrHvV0s6ycr
TgBikxaKi40ceOEaZ5EKyMPAv7MRRp7D6HwNTWeBAvEJemNLWVh+Vnh/golDHxU3UBtX0A4k8LzD
JzTw0cfmZgjJnqOvhTATjaL61hi7IzTTSmCT+I3iO6oqmoe+Mv0DX/dnKd6k1CbqqYJbaeU61Nbw
L1XxMZWFoSmxsbPuzCafw8t7SD3rynOHJRKm/ZwO83rIVGXSaNJjr+dHI3ePGdY3/NkqzWiU6K1N
j1sF/eiH9TlVpfjY6ZNr8zhTopgUjniXIuMMxVKfhKP6gZL6KrTKpdkSttdN6S34xROlKeZ51pCi
RejWtFJ1pbTlMjSiO31Q6K9Dmcttg5Kb5Uxr6NSzNE0umtAfFpiyLfR6jKcjrL5BGOgBdbPRSClP
cieuEDV04SYN2lL1sqPI0BexA8cmQhlHj7p16NchjOvhtIRFI+vuUU2jC/B3YA33Der4N35aC46h
A/LdRH3zUs1RJvUmdplIF3LuFJeoOBKFK32wqDV5AVob+QrV/RF5/aNrODLKrlQo5cJaW2n/tTLL
73VErJBn2YXlOUvJjy4UmlFgl40p9ddZ3kN21KwWYTe5XNhGfaposc6XA/ZuUazX+nCV1b0Ow5mQ
zYmtcRq2FfQldKxrDBI1c9j0Jpjvvv+G9vVcdoYvPGhAlaF0OATScVr4Sz+SDlMwK6Zw3Q3jmSO5
K7jji8hGmLVHj37Qx7WW1zdKUQJDhgahQsVu0QmgIMe9GuAjhE2JkPRfdlRxkjzhgXyt8Rgf+mbR
2Bg1JQ32wEj2RKk1GxKUDQLnNglDMDmlDwzawXyyCKBsJOgtocG6IiI4pap2X3WY0tTDdOgthDp1
Z4a73QmacYddSciRqEiwomzJszUAGjerpirvm7I9o7szq0L9GkUQCgcDRigRbATdQMY7whBXpsZa
9IqzQEjsymjcx8KsWJ0tQQlsz2lltSvFI6mVCsitWnLuyuBcfKDQyKfYE7hpU19vTjorPUJgivQu
Qt7Zs+9iTag72CtaZ1Sp5aVjNfjetDeymh+6NP+h/FrzKIw5//pUmuRmdqk1Tj0NxvJMlz0khsOV
MJzLg/bUNcdrijGAxesLV23WZdGCvzbQTnaG2TiqC9Ms55qkHFKwaWcVgrKcwtrCMeojwruFTZg6
dWinFLn8PXYBU9dq803D5xGxBUM7BDd7rgizQc+7UEb72LGxTxhHynjm2K1lM0J9jS5VlHvhPJEC
YUhpNIjx9udaLC2ieDhXHfsHEq+U6/JZRTGsKm2JghMU4Q4m4FDn57Vlf+mFqFJi4CDZJ4Yz70M1
vo3QyJ55efsjrBpIKvLXuElBY2XHvoOEKnjgS2A5VHXLH2hwzZtGyU/9vl8U4fglUlS4C230lRN4
XqXGRSm5WFXLzp1kljd90R91iU/lv0ksemb2tFZIjTH683sSh8470muBE9MHNB3olVEvLgZ9hSZs
9LWNpY62GlXzhTTW3dTu7XksB4fUzMGSdck4w2LkQW+1Zja0GfIzpbJxxvFMKcFiEy546C0pCwp5
IfaSeE/UmKM4dXQC6JjjcugxL8nQeAnV8wwrBzoV6BkiLdL71b1BKamWBX5mOKtM+IAq51dpoRwC
deVLP0hf8z67jgMwKag0zPIYeJY9dGdtBIdRH+2rMc2BtDVhc1FSYp4bdFFWeiojrwd6D2U/BVnO
Z97dL/lW6luQMIgBy4SFABMG/hhpIy2gN+EJ3G5FHxzNOVOuksmtsWjPiykwo6mzub6sTsDFz7Np
vQqOjWU381fZwl8beHae+MvP6uz9L490DVLwvxHpXjdgeR8/Fh/EX3+NdCEog0aH+0d0ihafRqT5
GukqKODTw7Ppjgl+skCYvIJPzAMiWYjLEJhfO4OvWF7jgCYdTx+0io7tEHWJfwI+sd+3/3hjihsy
n4ESB5Hzu6UE304uUjonpzi3BBNOjG/kUb6IZDBTa+GGlbFoqATTIXNPgtLuZobSoSadtudJlR1a
oFcmFRkzB3gxw3HtiOLbyWBBbiAQuZLl6KGlCI0TZotUj9QlSE+pJ6hewy2RTW+aVAL2It90pIxq
pd86BfLqtu/oC1ccxo40LmJdkuCZ+QiaQ3VGKhqDzzz8Cpr3Wz5kX1ofzlpWVzl2ZibGevVhCm6m
dqQbN4XtBkxf04KTNvKP6yz4VmU2UmKOdU5lH+8az54nfDHwFHBx4T+sGyW7SwZ5QJRAo4FZU+Er
4g7SRPdlUPNy7tXdQtdHcIoh9iF6F8QotNsPhY9zqh2bx1UdX3fIBk5tz5gbkX2JNeADKM/zAFsg
rAeQdZO9sJ67HRWIvL3FRO3erbM7t1DPuEfuyW+I8aPSmzdpB0vMSs4pwKyEU4Eeet9iFVpSHtv5
rMPIiLA5u+8Uh7op2qPJgIR+rmrjbNATZ0FyUU6pXh3XVYSbn3uM3tZsDPISfaZuIZfd2nOclQdb
aRhbFN3DRysprzUIftj93ibeiB2rKJPwkBy5NCZdR7ynygjgqX1hXphtdeI7/Y84dLIZNCNQuq48
bUrSCsxYb3TPuNTrAb50EF3rnvqjUc2WoEf8dQNtNFQhbhNihirjxjANc9HUcK9wNgmXphnfZTry
bWregKwwZGwZrHhaQK2ZyLo0McdoIVs5jChbXha1zxUUwcVqcp4asMNuqhomwpK0EwsocWZQVUu3
Qq4JRao1Uo/erAxd0E3deGnFHJCpsWgKveAsd4V4IFhuue4548cq5FhnxRmUQab2yCIeKp5hoube
vCvHK3ikvGtqk0K1C1durkZbWwcdHV5LRSq9KlyupRi4Dyy8e+LBWxuRUDjd+XdZyRBVz1zsVXpA
tHKwIl8AUiX5KxnToZlkRelUlrOlSRyjyEEzhYvqrNBXHiZaaz8mYXFMSwJfwSrM58hDHpreMMzU
BjQXQj1YDhlrV6BtWY3JBGG371XjoD5YYnKpjyBvUfNUj/Q0Smc9ZBrvMFYdX5tFUXej2lHZzkup
8oOvTINbn6m15XVzMzC0hYnVX3ptoRmXzWB6jYgWlXHlT5E1sc7h1gfm+VBAR9KK3rsLyGGqmCU0
EYT207wi/gerPrU7kmeuI99yvCu/kAUz0+gvoMpiqVEE6PlarYYzAl4Gs942q+KwsWR4lkUAh2gK
fC7GJWbAn7OLQUabfYFqgabeRp0sY9CT5g3nTOwD6TKte9lr8BqLUOrD8gJUkyNccXSjmKPEaXnX
cm3F1Z3qth5dIG1UIQvKiel+gwjq6yeySmIxwe6wyf+vbP9ctjeok/ytexMdqyTddnMywJ83p3Mg
cDOIQagKUZiAwLzenKp8AFpFMS0ITO9uTvtAF9UjWcEXgV8RcrmvN6d1YPIH3J6OYj4V8P/JzWm+
g20+1YhkgJumotIH0J5gpT/XiBTMKRIJ+OXZaPhrTQEs1uLo0bOpxjTMFq1BIw/vmRM9jxFV1PSV
3CjLIK/P/IaUD0YAXtagSCTBHF53Vb6JGv3OrSCqpPVJPyrHnqOvRt8suWGyYepb3l01xBe0u6K5
mSQbqmDmVMcUZeLGLNGRDXGUDMC444jbwk5q2ouaf9Q0mX2ckkfZvigCiDrvSDmldKLvJl0pzVXO
fdqbeWkQajvhbae0AgtgntkIUXKmgPyIsI8/A8PxYGYZECGa9linWyiAtpFySN/wuK6tQ81NrlH6
fCRfPal0R+Q91x3ROmhJb5mZzZFpcGBkrXlmZNY6rmF4O77xRYPahhDSt843F1XLiVoqcOY7xz7X
nfII74+zsItOwy5c5JLigtEDZIlCClC1UrpxBNkmG/OZbITHfon1zpgP0LkjggADn70kGlH0NZ1k
IYXOt57L1GibYx3gzGleXEC2WSTUkQYLiXKDuo/WXw4KSV4YgjEixdAUuEKxdNvq7g1tooXZILXq
tJ2x4hD6HgzNl1yStVkyQrNW+vB0aJm6Imou5N4lSYnM5GuhHwLTtGsYqB4E9cJqTz3ZXrgUkMCU
mt10aNorH1MK/hvhfDLhWV2kXxs+hot52TQKEAzUu2xpBDJzYytT5AIhv/AcwhBvwVC241k22PRj
B+0ysEEldO6DXnA9BqZ5rWfmpaRa+LjV5rGDhSHSxBbc7pyeZFD6lxKFMwMGx7GRUajri/DadtN7
m6Z96ibg1aOHMC2/eg6hGMrUHaiVyFzlrtLhqs516WLVPAX0tNB0AV+1KDviYrzIg4bSf7IyxohC
TruKVOwz0qanHw78xzaMfKabVAi5xW8znHgcyi7HvsFsFzHipKCGkDPvlQqgF3BlCfDaZOzh96P1
lJ8A9oXfHqFq2qD+KSPHlwVUNiFi2LOkSZtJXMJnzfr4GFAQ9Y/qNjCtY0M3LtM2C6ZWgMCMpIzj
MklRG03xHVo4A/p7gGy/5WlxZbc8eKPzZoMxnsqNi7ugpMy01rh0cvuy6dxVp9G7Vlz30CL0mxgs
elQb7EU/kt+XOPXQn48q0lbCsbAokU8chw0sNTxhKvjhMTM6qbE3q1tpJkcmOtEUypQYghNZwjKA
WjUfoku471hYIivsjRspGjZ1a157fXsdxXAfevs8UqGpgJZAtVSFu6sF0lcaRchqws0Wpm/+0Jpr
KgKEhCJwoqaKQqo0bHiuw1qvDDQ0coAGiHrMVEl/VPsKU2jppJfrdB7YQzqXh3ED62k15LUxxc57
4HGhVEaTxZoMJWQvteiuEqvLcKislaWreoSHGpKvXYtZaNewAvnzH2pMzDQYsTvBTMlCc0K6RCH6
sUpYErqZBGBfrS95WZxWMQQbVcGfOpfPLKlbVCG6rZIa63MiYUouSrjw5bE8dhUEP1Kdp82MH2Ga
hTRzympq6vROx39ggXIvSLnAdqZti6ZOPHgrF+DVKlMwpjYDXL04GtH6XBRIDEx9rvqx9s8qYRhI
0g1+MdCusMzogKODq67kZVjq1/nIWZkpV4pXqNNsBCQvZ9bG8/J1bvprlS836wIZt3C5+SKZozJ1
MRrH4Ar4TmmwqKPKvWvN8a6s0TSudG/lxRIGeEozTzjg4HU3V7mtJFjc8Hw1CRojWuDTDgSv8E76
TjOMowLTPd8546BbArSA06RX1wgIfY3U+qYsbMoQUXOjO6O8UtROmcmy6h8RxlLAtH1jOvgEg5lH
QzBWtMOyCq9SU1si0ET8Hil3XQTux4nDhYGlJ0JK1BS13CTCU7+25kVXrUf3tkOZ3NcuULie0Mf+
ioTnlwCxEFNJ66WZZtiMosSex0q1kkPzUeGgnyu9c94GJlsbKfiVZIDCscwxmMdW0EwCXZ/hz3Rc
5fFl66grC7k9clBsewblik7ekZ8NIw3U5saqgSbJRb0u6tPWBP9nNMHEo46mAzKbxXi4L1XcRacw
+W6UYVzCTw2PkbFWUGUpT5zBkhawA6OFVvfhZESufVLlaPwabjLvcm+NuJg0rbCuBLaeeYg7D42m
roBkPtpB4p90aU1LHjqbYd2EGVBKTCsEOaoYh1MF5eOpX/GcrQFQpGfXRJcA3Ti/1m49UqOBhnEm
j9K4cpFFOGwt/5QisG1vQKENy7GHPevn2PFyeYQ0mL1FYignam4cchqtTTLvyNbhxtUIREiljuGn
lXNCtAXi5pW0QuLzVNcrb5X68qM2yI+w475z5QCb9XvcShHmtWHeRzJfnc9YaUo2w00bVSzsuw3P
X5LSUZ90KaQjEXYLm79dDgou4l3hzwulyuBA4aHZSqI3YR55THb+HeihoruXQH5WktSpp0FJlp0D
wQqaRJmC5frC9HOLK/EjvLN1q3rWIi/6i7Iyl6FdgYWn2bsg7yenKmXhnEJ5Vym627TGeLSPrwx9
mJmx8SVxClKKEGXqMTrsdHNRBjAW2SdAvPqFUufXVqbfc7ie106XTmOfJRCYxSXEkwUHHAZLuoB0
KVAdfVil1kinxKyplofJmQUNdhK5foPNRzTMy75mPXQkyb45YmJmVmCWEfbKTVxXgkzdjBiLwPwE
pIDg2wSpt1OC3NuyzI97K7amWSLNFXxOsPa842pBNFu9pG58xM5dWaopQ6rxv+Sw98AwxiedwlUb
KceBWx+5cXZj5MotpGnhG2bdVGp/kpEGTbsA1EIoYc3qGN5X6hLpVJHiwzFYl3p5guj1Iu9UdKUD
+8I3cu5oyfzS5O3J2ONKkwbfY91AggO5oEobjgFrN6uhHBCx7c2TRLFBsCYchBLdFiNAgdzQV1Gm
HnfyeNSUmjb1DLqe5mjehF2SnGvU4WcoiEvIdQA5xAoOnpxIKzs0BiZIFw3TvLJ0gOHlqsKId1bK
4XerI4ax++bcyuHWOSWWip5TVcdJUaL+qnW0Hi2M+eBcRDEaQw76vsScbs3mMmJ71K/NWlqDdEmW
pp8dOkRbaGXmGq5dIzY/wf917l/yMpQqfp2XfUWLoNmmSSBsPv7MxmyyJ1UFYCErqB79bE/yVMcU
chUGgrH07JEDeK1j6gcOmRiddN15asz/BaLStAMuc5UUTpMt5YmV9w/qmKJK+UbjTDiJQmnDGV2h
k6e/UyToZcQ+yzKliikKdmx52Jug1pPnBfLLwrvypIvx7o0g/uk62hyyqsr6u3KpAmOuMEM9JzI0
nC+RX2Dql+BBOa5soA6ABOq00Q9RexmvoLECijcV/Sa0yd3yLLTXmEc6R4olsDpWafTn6EpfakNG
lmQOHr6GbRRW2reWApsNRahoW0g/dFhbHZ89M5Lisy6MK2Ue5HmmzhEEbyBuSYg6YSvpIgIdDc5c
YBXkWZXeG7He4Syex2d6A3R0quR0jhaZ22u4OjWoCaCQNrGCLtPO5FYxouM2Ds/KGomiJEcE0XfO
NUV+NKr8IeVSAhZ0bSEfg23y0pDMjHuDb4ELKf0Xd+EkwLuTQ3cYipkWJYHo0Mziofjh4zqIpPqp
ouY/Gq29wuqLGxdJgzsrAvHkoBFwIll5CRPeMNdx4NBNTGDXjWpFuCppP/Swgqvl+uj11kUuXKtR
Xo0lAziWfUKT8rRKERAYVbsl5BvVZZ1aXwZFuo1VwBhZ6NMWr2tPteiaI9fqIcMzB/WBz6ouhoCl
rERm+aXUa+R9TTv1L7FchjNhKeXc6WXUGEFGMItI40yqCFlzXSoB5sMSLJCEXPuSopz+tPfOn9fS
H2mTnGfYT1T//pcqVGTeLTFBCEKzjw6A6Bq8be4UQ1l4Xm+Xp1xAG/gBytV4ZU1oJtLSSVdgXWFA
z4H0zcs5N/haX2hzePTT6D+s9ScHub8+B8xXDelUiiVUPmhCcJ+9/RxGX3aNV/nZKaH9GqPRfhp5
hUteQzRiW5EzL1oXGL9qUmh0bfnEs0p3rfCMzKiAQ2INpw6aoRNbHb/VfeYsKhVRjLrOF649frMM
16A6gtC/O/Y3RQxqXy0LbKcqBCL6zgW+7INpx7d7Dp1o2SngbNyRINJ24b86q1ED86uqSx3joklR
41EbOGA0knSFOcAsA6Y7yeR83nXesQrRkAwBlifeYpMkCdHtwLWu6x1tWXiiC655X7wuWwEIPiG1
ksk486UcsdAsp4CRIIdXv3/E4JR+esJPnGJSOQhXukP9SHPeHSLOCJQwT9zyVG6TcMlBgIhKyd2O
IfEcp3esVQtv8/u3fEIsvXma4Jl+fs93T1PqQWm2kVedFp52h3bptAdTAQjHWulJc5IVLqB/k2qK
VRRTI0Z4HsOO4Xgs8eKDNXqcBfatHICehNr5gxoq4VxxombmheyO94ZXfEu6oJgVyGn/f6AxKkqF
v75u/0Qv34Hu39I85C+/XroIAbH3UBRVkPB0dFFe/bMEil0YFxDEQYvHyn/+denaB+CWdYiBNIdR
eXgLk9MUDc4h5UqYfjQR/0kJFD78m4Us+tBQ16m3gp62VIiMfIifS6B1CUo3VsP+DJAxkAo87yy3
vK5VRJBDlZbUiJ3uddAqMV2EJLmqhG2eJCtARUZXmSrIIniOcNcrdO0UcWV5Tr8CrooVIqABFLYW
tnx+0X53mg5LvQHYAX4y/blD2j0Fy2VNncbNrnU8/kqZun+N61+LNvdZ4hVkHx2WgCBJ0mVjqNrc
azEMrBTlS4Iy2SoGLoJbMcbGRnOIUC82gNgN9jrCjSbHxFkszAgJdb4BisbtBZ/CVBgWFpTiTnxh
Ykhmh7qNUAtWmIKzQLFdnPJqZwVuRMAdVLClCTWwLrecWexpGCSk6AvDYLvNECknnQyhBTTJcVOA
8XVAyBHf4ArYoNSOk4jh52u50eeR5clz1WvXUSmhIWh/ZTZPsozqoVxzJVFXxXA78r8ZrQ7WCKng
rMtuvCK6EZSJee573cT1gqtaB2IDeAQjnBQFFdPDTXLkNpfM5FHzMKjoU3NtlqRINUY8ZBthuKgl
A4tzt0NA1RjveNDh1DHzq0xyT3VA0Ta1IU2Ypuu59uAO1TlkufYYihWE/Rr/y6KzT6F9IFfgjqdG
xiOt835WDN15lGjfVa28GbvoXnJzTmof6+G4PzM7zOIs6lUIMwHQJbM8NAA/TGNcK2ELOmfwZeup
mgjUCKC2PgHtZmmYsyn+Xe6NF7quw07E+VrqRwmFg8jBcBFlEBMbePuM5DjUvgtQxXBo0RSdWzC4
kXoaE6p2JQbSBn5OWPs+SsDYgsaGwi8NIHK4B1wnNE7ohq9btKkmloHxhpoox/iGh2DGSatdWeFW
NuxgORjR3C4UG2X4kQTQMNppa5eI03gRykaU3ND7H+YBhLJ5FjoLGuQ0MqORSSaEO5SGChFwAyxY
xwafyqxUzcsv4zRFfSrQD3vbobKIjO116rvVxNX1lZKl0HKNkFjOMfF7c/Ft0eUU9Wn3ccAyLcD4
7TAyjOuydtH0T+upFWlTy3JOqQLGJNUGoLGukVGAMQ8lu9TPqLVkQM/KeoqdJWKspX7VRlk2dWvj
WA66fOogITCVJWNdgtBfK0N2VOixclhk1MC82oGSeVsp7pnUeQuA3v2CNjlU4jIAlJOUy2qI8gn+
fjO7iL/7sbGws5ytzjbJc6tnYpNvuV+te6vLDyPJsmdAbpQzH4go/WGICNTVvDX1P6RNbfe0LbCN
CR0TXKEzTmKsaWmRAvN0oegOSoW4EKIK62IYbbCAqruihkSOWmX6cvBcZyZLRXWYF+mR5wMPG7xG
W8NlHdEnVaSlnhVoDRf5hSk55WKMhrUke7cYhmnnakiqz+kHkzXA0c5HgEkCEOD1njs3w/yusELv
R5Wi1uSzjS+sMHwcw5HKAxD2unwO1f4X6L+8fMTZpt7MnwTtLprHcrh8rOgBV6/5nPjpU7R7nf3P
fun3A71I6V0P+eO//7V5QIFkFlR1GdzXP1+uBiCbd7fy02d6+sC/GyLeINTXPDC2hiSMoWNirjjy
04vIHLN47+XHhPrOAf1KUlDu66fX0xv+NEe/moXff8Hn6fz97/z6G3Ank9+/0RoUhilv4pO/MxOM
89NU2AK/Twpsk728mQNas3RlqRMgeC5ez2+1b3MgZDZ3ngMLwxsd1QYi+KcXYf7bqUCrkQa1JQhd
TPe+zQGRJWCwndcBsZ8BGlHMKC8wbG/mgC1BFomEksVC2c9JIKjeeRIAKqjUuQDsiZfYKj+fCwKu
YEMmhN63p5Og89x2nATQFZhCsRbwOtg6CQqESpRLNZKOPV0Jz/v0uRr456X1Hy6It8ciiE6Fx0zS
tX07iISOK0RR1P08F0WlZ+eV4CBRy2LnUPjFShDUWpukUVRP9/NMeJ/A/08uSCp4DqxitPvF6/3B
qKp4rOmw35S93Q7Ph9UO2wEVI0sUMVUxE+L14YbUWSq6xg25r1ek0Dbe+WDEywUjHvklTNiyEgCq
AecWa2Q/twPPbcdJsA8s5KepszwvBBF9vb8i2Sh4Dhrm06Gxr8ejunvIZAmdbsoWQBpfv+qbqSBk
ckyEIFULaL547euqeF6uO5wPGjQHUJwGla3nb/p+VYjoEesi1Dv39aZQdk+l1AMKpzR7qNU+vYhH
364H4wAheCaJfEu89nVryLsflYRPlLQVR+XqeTMH4raERkN4ubcXxc4HA8J+kHoUnab4+2+PHyuy
/agavdyje3oiCKPYHe8JMN+6wlp3fpVKEUCDM7IxOtjTSVB2zyKwa5BVdoL1kkV8OBZtdoNjmkAK
9nQSPhAB/nkALXhzAlmv/6LYRlKN5ZyCrua+roQPLMJ/PgnmgYa9MYHCLyaBCxKqr839uK+ToOx8
JnAuciQg+/ESLwkiyNvLgfKKUAUhhN7T7aA8P51dQiXjQLOeCgvPQYCIAt5MAitBJJyYu+ztJOxe
WWA7UGRTAXX8Ml40+RnVlb2dhN1TKf0A3W4kKF8n4X0+qdgHosyGSM7zHbqv8eJLTL/LpmDNEzaT
J/2q5qgeQJVWkDd+PoX2rwT/Uv3ZZRJM0kVkiMgon9KDDycDFyU0NXLOl1rG/k3CSzF0l0kQcSNn
gmW9JFHvj0cVuCmIKzy/9/VkeCmB7TIJ1gHYHseEbPR8PL4/GVgJSF05HAz6XmeSAvK4Wx4hcimu
CqpuMD3Fi6f+5rokoXQo0wPj3dfj8SWs3WE9UH4leBbKDi+T8CGvlA8MoKZ41u9r9CjAsbutBETj
cFwhsX7ZEx9WggihVRsBzpf6xR4ej7t3I8wD03qG2j/fER9CaAVCtUlSvbe9alEU2X0lQBPQiQ5/
MQn060kjZCqze5pHvMT2O5wJGqvdhAOPTeQvJoE2rUJnDmjyvk7C7nVnjZIrvQbkgJ9vh/cXJaI9
WGzIAKb39nbYvdiKmiaYcKbhpbaw5UygAkVVWn2epOd33L/jUTia7Hgy0HHRTIvu1Esf4kO0IBMt
CJ0mbV/7EEJXasdJ0Ci4yUivvhQYPuQRbAoYIbg+W3u7EnYvvdpIcoFo0oHrPL0+rAQRU4l/qMWI
176eD8I3esf1QBXagH1Eavnn/n8bQjMVMgh8ZW9RTdru0SOdF6AqECleKgzvD0k2BUVqfJ32dk/s
HjzSoERvzqBJ+S6J4svjs24zOy9LZE8jBm332NGiNycjBk2i8Px6NxXkk7oqQ0DV9nYhPBc+dokd
acmwDnRM438ZO6oO1VnHeQ4u9/VwFIyoHQ9HITOFMTtg719MxdOmMXXKbvu6KXYPow3yJRXRHW7L
pxfP++0NQWOGaAK0475uig8+f/+4RUelCWwzpyDE+KcXMcjbSUDqHgFQ7P32NaF6ObJ2OxlY6HCG
Xi+CD2ETqbWKKK2j7+2ZsHsWoYsrQOD4fo1mwrVRE9oBr3cIp9D+JVQvz2i39SAaULRlflWJVg5E
15oyw74mVB+sp//xyQC6DeAn2rqv5df34RMxAwQazs69LbXouwfQQLpMGaAGNqZPr/cBND0Jfsi2
EYKKvPb2fNg5jhZoaE1IlLzyhbgU398UWICbWE49J297eDLsHkiLcjw1JyH78vq8308C8i0shr3N
KoW4zI7RI91KtHRgDL3cFB9OBsrxYpr2twhr7HxdEjiBaDXBMvziuuR4hEpDdUHgn3jt68kgVJJ2
XA/QIDgCNflXZJEnmBeVWFN+Dtr372T4IHnxz69LBKYsEI/0X96fixycFnAWMLB/P5f6G1P0J0F5
6gfxwxM1GYPdbQzmX/3CKyf3489/4tw+MY/f/KagKj+/+TMzV/z/f71hLqtPYeFPP30NE5/e6eXv
v3zFj2/+5s1ev9frH66Cx3JT3vvD0w+Glw96uklgOP93zL8eNu8Zw6JL8vpnW2jWP1ddfz96HmwT
fRY01L++6jsO998ePNk8ZOXrQIcP//4XXT7cEMWxsfPgE0y6Hl/H+WlsPtzOY0838ablkVSvY/00
PnHA7uOjtV19eKRMDMfWJwye1uXmj2lW1dvegp2881vMHuM/TrNy6/wTjuw8/jz+Y5aVLJ7XsX6a
f9LYncdflI9Vum1wjvKdB1/Gj2n6Os5PH/wztuuqSb5n8UP9cXjlMzbsYZI/lsEm3jL8Z2zZw3TY
MukCnL/zpB89llvmXGBodh86SL0tB4HyGXv1eBNtOcMECnPnj328qarHbXPyGRv0OKv++O/Ue4wf
t83MZ2zRk80DB/DrPPy1jQQ4c+e5OdmUwbap+YwtKsZGUnnLRxc8xd0/+mP6kN0H204vAdn8hPHL
+8eH14H+mncBhdx98IzP/jrOT2N/xjY9weJ0y9CfsUsZun4sH4ctw3/GTj3d5NtWy2fs09PHdvMx
dsSl/jO26Fm54QjYMimfsUXP483945bYUbQtdl6H56hAbwvuBGxl58EvA0LHKnjYMjMCEbLz+Feb
+5KUIK23LHftM3bp1Sb9Y/KI8dG2N/iMrfr8BmW6KR+2HmQCI/AJ05T+MQsevW1f4jN2rfgSC3bA
fVDdb3uPz9i+4j3W2aZott1W2mfsYfEOx01Q/XH2Pajybd/jMzazeJeTTf24bfzP2M+MX2/+mGzK
75ttMYP+Gdv6+T2muAtuOaxFe+YzVizfYlo24+tgf12RovWx+xv4m605oei47j44NYytU/Mpmzmo
omDImtfP+dPEfMpezuLNtuhB1Lt3n5jfea8/qcDtUL+5qjeIUMabpnr9pD9NzadsXVFm2XIPi4r7
zlNz/ehvttnSi0r27oMT4yOx9zrSX/MiqCy7j/47n9Fdn+p181sztl2H/725wK6j/0ZCeeehm+9b
Dl8hcfAfnue2suyfbf6PxdpXdcdtf+1tLVr8xn38uCn/6/8BAAD//w==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l-PL"/>
              <a:t>Customer Distribution by Region (California)</a:t>
            </a:r>
            <a:endPara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E1EE45E5-FC3C-43BF-A291-1474A9956E2C}">
          <cx:tx>
            <cx:txData>
              <cx:f>_xlchart.v5.10</cx:f>
              <cx:v>Suma z Quantity</cx:v>
            </cx:txData>
          </cx:tx>
          <cx:dataId val="0"/>
          <cx:layoutPr>
            <cx:geography cultureLanguage="pl-PL" cultureRegion="PL" attribution="Obsługiwane przez usługę Bing">
              <cx:geoCache provider="{E9337A44-BEBE-4D9F-B70C-5C5E7DAFC167}">
                <cx:binary>7F3pc9s4sv9XUvn86CEAkiC2drZqQOryfSWZzBeWYiskeJMAz7/+NS3JlmU7sZ2oXq3qOTszG5MN
NvFjN/pC49837b9u4sW8/NAmcSr/ddP++TFQKv/XH3/Im2CRzOVBIm7KTGbf1cFNlvyRff8ubhZ/
3JbzRqT+H1hHxh83wbxUi/bjf/4No/mL7Di7mSuRpRfVouwuF7KKlfzBtWcvfZjfJiJ1hVSluFHo
z4/OPBbfszIV84+Pr+E/P57Mbxfl/IOTVanqPn5YpEqo7rrLF39+fDQM/vjhj+2nPeHsQwzMq+oW
iIl1wCxMTExN/e4HffwQZ6m/uqwhrB/oFjFsA7H1Y0/nCVBOy/k3qZrsw5K19cVnebrjaH57Wy6k
hFe7++8zIzx6E5iPv57Ow5On3gwzMmDgAxx/frxS87T78E+4uE2zmz5LFx8/CJndTVvZOdnwyp+u
7uboj8dI/uffW7+AWdv6zQbY21P8s0uP8fwJ1n/FuUgXO8DaPrAYMS1kGuzux97CGrEDCj+mSY01
nFtYL1lbX3wP1usR3oL1mmYvsQZhut2FYNMDWzdsbFtkCTbdAhvjA0yxQS1QGUt18gTrO9bWV98H
9mqIt6G9ItpHuJP5bVbuRLQJQKljGyR3W39TijEjOlvr9+fRvuPsl8BejfAmrFc0ewi1k8G6NAi2
VLsQb/tARzZjhNDndTmIN4Jl26QItPyziG8yuL7lPUL+eJy3oP+Ycg+/AV4ptYuFnB2YCBNDf2kh
x+jANA0LIQzm3LPg33G2vvYe1FcDvAXuFcke4uwu4g+nGXgIv1+zG+iAmgao8EHah58n67hxgHWD
wDr+0kJ+z92v4L0xyFsw3yDbQ9xnaZf9fsjBJ7N1bGKdrux08LwerenIPkCMWZZtv6TbB8Z+Be0l
/VuAXlLsIcbglc9r8L3lDoAecLQwwpQunW+Q4EdAg/Nt2ToDVW+t0dwy0u+5W19/jy7fGOQtkG+Q
7SHuX6tvu7Db2AEykGki9hLksHTb1LINi6wh3YJ8YGx96T1oL+nfAvSSYg8xPpmXIt2BXNMDRg0T
Qmor33s70ALGuUmQbVH2kgK/4+xXUF4N8BaYVyR7iLOTxZXcjTTjQT1DSO0FBY4PdN0mFjPMNZhL
aV5ytP7dG8R4TfgKYNe37iGglwKWZClud2BwE3LAbN0kxFpCqm9HxBE9ILBgY0S3IuL3TL0D1g3a
VyC7cfcegjuKP7hZCYGyHWhm+4BiZpl4pZjZtmkNFhcEVBAETpbwv+Q/3/P4Dqzvcxgbg7wC9OfI
9hD9q/lNCQHgVO0GfpNCDsQAo/p5ZxodGGz4A8GV4WcL/gfe3gH7JvEr4N68fQ9hPlmkt9mNSHeB
8mBjD5ESipYqfFuDYwIhE2oRMgRTng2P3XO3vv6GFfpeTjcGeQXez5HtIe5jyAHvBHTrgBJkgWcF
oZG7ny1fekhu2ib8QVum2JKjdwC9JnwFuOtb9xDQSbxId+FDQYwb6+AnYwh9PA6KQGaD2YhC0cIa
tC0P+Y6l9bX3SO5qgFcAey+1K5L/EoB/zuajdx8KFv76wYS+teiEHmBIT1gMLXOST01sdmAhiimE
StayvKmmjzYKZZa/fwbkZa3Ok6KTTdpH77h8xZ9PzH9dOcnVPIUMJJ+X3+Y7qSAyDgysD7GMlxWv
xWxiIHCDV4p5E8xH7P3gG8MvALpF/wymj34FtVRbFPsJ+Qe+KNN5ebsbC8s4QBDWQDYhSwsLYpWP
dDT4yJgZOtt2kWHqNxh7H9qPBniE7fMlY9vP3EO8p1XyLYtv1e93mA3wh20LGcbTZRi+AQsRHUqM
nhPr+4Vxzds7wH5mjFfg/QzVHkI+S/JFKebx74ecYAiBYNs0yMp9eiLc5oEJhraJoOBo+Nlyku/n
f83iryD/MMZbkH+g2kPkr8Si3MlCDha3pROQ52XsQ9/GHWJjcBGWensZ7X4J9yWDv4L6eoS3YL6m
2UfE7yw4p6z6HUg7FIBTAxk6Wllnz+SqoKzQ1nW2lYNemlEDV++AepP4FShv3r6fAH84zOZFtats
JOQiDQxm+t3PE7lGYKxhA0JmP5FrMN5WXL4D8ftlYbDH7od5BfbPE+7hV3CcyQ9/pf4iXuyi1sQ4
0E2MiW2YS3NtW86hqAgbBKqI0bIyYUu7bzD3DvAfUb8C80f37yHUR+Cc7UCXm5CZvCsLXeUuAcPH
bhm7qxpGBL8U+B4Yewe+9zK6pH8FwlsUe4jxas2KdxN1gSQ0yCqU9a+8r21xhhJgKA9EhrldeXA/
8Rv8/Qrij4Z5C/CPCPcQ/xPYALAoF90O5Nw6sKhFKdFXRWTPrOiWaUEJ2Yube9bM/QryD2O8BfYH
qn3EHArK8mwnpUb0ADZhwjZNe2XFPaPbmWVQG9NVbnsN7TI5MhR3DZytf/tMxPylCOsD6Stwfrh5
D+E9gg3Bu7DNrANYkWEz3to2265KgdylBddgO8eL6/bA2TuwvV8N7l5ta7/t8/HUbZI9xPk8nt8s
drNNz4aYOJQXrRJfzyhuqPqHwBteGulbFWb3U79k8FfwXo/wCpF+8tQ9RPx4Hu2ilhDsbUATNPIq
T/KkwB8fMGQiCyq+12Bu5bIHxtaX3qCz7zFb0r8F5SXFXmIs5WIHbhfkSKCkH2R6tTI/Fzi14LIB
SdI1lE9QHlhbX3wfzssR3ob0kmYPsb6Gwn7okPH7be8hIQaLNQTUVvFSgPSRjw21/ZD5NCHbvRVB
uRfJFW+/gvb9EG+B+55oD/G+yuL5TsrKICpmwno9OFt3P9tmN8CtGwwyIi9u0Vqy9itor0d4C9hr
mj3E+mRR3ixuf79oE4ip6BazIMH1fIgUEmCGDTu3EH22OnjJ1zuAXhO+At/1rXsIK8SDPhxXQn44
+yZkvou6YPMA29hCsBC/IMuw3RIip7Bt/iW7e4vHd2B9vwo8GeoV6L9MvIffw0kGBeK/X8phQ73B
dAbe9GoBf1Jfqh9AsgxaKyDwzjYr1e5n/46z9bX3GGurAd6C+IpkD3H+msW7EHZodkVhAz2YYtsG
GnRUoJDmguqlNYZb1vjA0frSe+Bd0r8F3SXFHoJ7XcHWy2Qn3cxgk60NRYaQt35Rm0MxC0I2fkmO
18z9CtYPY7wF7weqPcQcIvy7EWgMnenujbMnjVAgSIqhUAU21r+0eg+M/QrWS/q34Lyk2EOMT+f5
/PevzQS8LQZxcAh0L2X6SXwUmtZBIEWHLMgayKXuHvhZ/+YNKntJ9gpElzfuI5CLer6T/oMgjRam
NtFXW+OfQImgFgH2xRvbdWX3ZtbpHWvvQPXJCK8A+AnNHmJ9Vs6hvGgHYkugYhiCJLb1UmNRaEZp
QgdCa7tWeMnROyBeE74C2fWtewjoOdhWO2lMxA4YsShsk1/t6XkS5NQhyGmDE0W2NlPei9GStXcg
+2SEV0D8hGYPsR7iBXwBQe1d2FbQccyEOCc0gr7POz4OaoPTrGMdNoK8lKd6YO9XMN8c5S24b9Lt
KfauWPi7gB52eyDIZsCOjy0/GfZwIYvYsMlr9VGsgV1aXMOU3/G0/vUbzK4N2legvHH3nmI7hoX5
RsibH3snb+zsTmHnlq5TqAJ8QabxsHETmTbZ8peG+X4dR8/3dd+ifyXCG0/cU5RP5mqxCwm+qwyj
UAu6ktMnizU4TRhKQZnxUsBrQOyOu3fI8v3auzHIKyB/jmwfcQ/mO+n/DGlo6NIP6pm81EcQH4Du
1m1IeKxB3YpyXt2xtr74Bu39AN1qhDfBvaLZR6yFjESXVb/fwRqaABPQ1HjdzB809mP7DB9YcLKD
CUd1rAHdRnvF3Pryu/C+H+NNiN9T7SPmQ4fvXVQKQg8jgjH0hl15YNvWGdT3W0Nlwsvhk6s71n4J
79UIb0J7RbOPWEP4ONlN1NMgzILA50vl/Hc2umVAAfgazm3pvmNtffFdsr0a4U1Yr2j2EWs4R0jI
eF7totybQjW3Dv2LrJeqQiE0qg+b8ShI/bMZ6OGYoyV76xvehfnGKG/CfYNuD7G/rmDP1i7CpFDm
T3Q4UWt1FMtzbY8wG3ZtmS+t4kvWfgXz9QhvwXtNs49YL4L5LnQ62OfQHsOCLbcvdEWCukFo6w7x
tOF7gJ+XXLPrOwZ/CfHVCG9CfEWzh4h/BoVa7aR/BhzEAd0xiP7SkTxDgprB3g5L31LrK5beAfI9
5SvAvb/3/wrUl4/Tuz+h0J2r+ejubMONE/V+fHV9FN8W6WrdfHZZXF2b3f75EfLMBNq0g498f2zi
MNCjVXcrnrVckB8TL8DL//MjnJY45KcRhQ4q0GcW0eHMxGaxukSgZxa1KQOn3YJTmeAbSOHImADO
YIRKFkh7Q7usByqZVatL0K4W0t06IlCwBk067o+gPM/izs/S+8lZ/f1DWiXnmUiV/PMjWIv58q6B
WxNGt6lhwM5QqF0nuqHDW+c388th6xjMxP+YMfQqD72yP+vVl8L2eNUrvjExzzxhGOHhCUNfGKiM
taG3qgEdJeARAwcbT+hzz8rbnKAz2Wq81MdmLLg0b+t6+uPnPH6Tp8+BLNTmczIN5UUpTHRm5rWD
yuOG3v74AXgY4UdvAkG1zSf4qEhxFcCb4Jby2vhE2fdM6xymnbGqHhGsO7L+mlfTSpyrzONILMJg
7PvnOLtQ6ZXf5FwVR5bpj2wv5b5xUYVXTRK4LUt+MhUIKh9+yCl8WJucEqF5qimHuSAjr094kX+p
auFkyDhrPME9L+Ki+041zAv4v7YlnB9P1WCUPmEAyqzuOmYbkETSHzOQ2j5StU67s64OBXIQK+Pj
yMBEOV1uFLnDQj2tZqFtH5at5GbVXKK4sXiTZr5T61rvlGYRcJxXej1Wvn7YMFDgkzj5GyfksPF0
STjWQvSpJUk4IRELbe7ZiqdhOCqtcpZXHcd1MUaqc2vVTYL+rLbEKPENnhUar6x+UrbsPMHnXh+O
vepv6cXcl9fSt0+IinkZWW6dAgNNNiOm6dA+5l2Yu5F5neVF4VrE531RwiQip0LVMdWTUZNPu+Jv
GSa80wgvmvQIKeMiDE/CNpnUKc4+JWbMc9KTUcaulWG5RmjysG59bgrfcA1R2K5uJ8Yoi+KvSst5
kvQlZ6Yn3cg3jn+MEBkQePiYnwj+0BJg8xNpBJOhamV/pk/I1Jv1x+oLmdiz8kxydKymhVOObJc5
3Zg4h+VhMs7c9qs2i8Zqok+sEzEOT37M0CA8D/w8FV8wdzf5MeK4osnwyWbRLIt42ril5MW40H+i
jp77MjfV0ZbCs0XSx0EAz9FSHl+3t4XviMoxsGt5PxEC9HiKl6+0KQRgz22+EoP3LwkT+CwgTnge
tW7VOqXPGzkKmeOfNT97tec0IESIwNqA9I5tsi1IEytpKY0JPmtCydP+W62d/xij5xTg5gO25k5P
BU1rH+MzWbuVGfFGc2Qb/QSgnz1kS8uylll9Z8NDWH3UF4fKusbWPz9+j+eWpM332FKPHazVZZmY
+AyqC502brhuXbLwlAXt8l1WVsv58vtdLrc3Wd6Vwg9Whz7f//U/11kC/7s7OPjhl4//CiOshhwM
jUd/eWL5vGDbLA+cfuHiy4bP2r68MwYgV7Qxj09sns02uQ8Gj3lHtTZ2EHSAHPoJ6XD0nAmdtTeN
HWgKOxR+QZzDhja/Q+JpZewYsF8KDCQ41mro7Qun2gEea2NnOBUHBoS0pQ15DZuhtxg7aJC4ByUD
So+BbwVbay3YukWg+9WWhKiegPquqvY0bQgb1Y0X5DwjIY2ciDb1haWZ3WHY1mk00vVIfVWZUX+K
DNkWXLK0+LIxe6tvY9P0Gjbqb3MDBh7s8gc7D47lHWrPN/WDkXZ5xIKqPsVFik79qE/B/qKZFTht
rTLG68aovtI61wQvE1sVThGWkc+9XlLDgaLX9JYppZ/BGEHl4jhGn3pTs9Gks0xvgToNteMfc4wf
a5i7+TOgzQhsa2UmhTafW8u6IWgA2HbqlLSm77tW28efatgKR8aKdpnJ665FoSuoZ/OeWp3gXaST
SVKXHXLLOlO3QSslcoSWm66Ew9RrrpJArzktzcgf+VkYnEcVO0wkC6QLkVH2WQbFURQ3ZjsSUoN1
pwzqZPLjt3oKA2yv16G/JZyXCNUNdy+9YaDSTvMbLY/laao89jnzbYS5EWH4NPK0as+btmRXuYfi
v3/82Md6ztRhyxiY/JQMRvHwr4GtjceaeusbufTT09Tu0SmKguo0laUjbC/4/OMnPV7ylk9iUKpD
YbcxbFWzt76zPDU6MFaC7NTOdWNeNFkZTzxld5hHeTDSiyruHaJ3duaExGySn300j5fB4fHwocDZ
hQYcWQfdYbcfD9soReCniTilRWTOk7Ay51E88GD2iRxZZZbxTgfoJ01cNGCRRhldqJjJWcM647i1
SKk7pAmzyAlpmnwiZY6JG9hdt8i1OnfBWkyoY7LMKKcmsfrqJ+vRcBbAIzEdUBrUBvSqhrOxYf/I
Y6B0qzJT0/S0E1R5yVyUSvocaZFKDU66LvUPm0BE33yb5cdtXwRjKzNa4WBU0++K9n3mdIFPHSML
64UoCb2tzTyghz+G2DCfgEwMWPrhJJPhqBqQzi37ySptoZeBIich2Nces13Fgn7Sqpawsaqryinb
Qr+ok86seBAE1ClROpG4zCexkWMniovkMo/NpOU0bvwvTZhks04qxXOzyD9ZMrJdr0g9p8rCUHCh
SNhwL5TpaZNr8qzQwKz1fcRCrvVemji4DpKpaan4Eof+ud+lpOVg4RWnyiuuFU404lo1hokUHQbd
YFR9z/XGDo/jwLS/enplHAaWjY57v62Z0+iBkTig6cVMs8su4U1n9y5qTM3tw/Yml4W6qnSNBrxJ
FB17sqhmhofxdRGgJpp4VEOC90HkfQMnuKy5SAvtnyqhiZvnEs+iLM1nqGDxrahzC+SeJNGVYN7g
5hWGf1h6ZeV0MA8TBE7uWdEk7choSvAvUIvqUQwnLoPb0vh24dQ48EaJJKVb5ews8DRfdxHK1BSW
Gtw4qR5a3FY0/rtN9OAIlyy/MokyJxULNTyWVtLPbSsrR1Jvw35cR7Y/1tpWn2MZN9+ln+em02Ol
Vzz1ce2PWxVmIBxNM+r8urLHZeYFbqxIMk3hVg7dgcoMJjqpKQ9lGGoO9RrKaWa2PTdU7DlEaWky
Ka1o5BtVp180BBmukKUe8xC+JDUmqmFy0hLaHltR38feRdUUKgEvR8RdWt4GXoBx/1U2WkuTgLMS
VHl2g7skVKSE43+rKtdPVaSSqD1kougnNauUN0tKIXIe4ji70qlGZmFHSOVUgIHHu0JnLcCV2Lab
eh6shyqOmmJkRY2vO2WskHcWFLpFs2nU0SZwuzZm6tiSisAX1XgZko1TwVo4trQg9M5qEB3Ldwo7
t+GDI5FMxmksSsbjAhYvb9TWwnI0D5rZm7zz9NSAA7y9JHECVjXeuIlpnIykB1bB2Ez9pHfs3gSN
meLIqJwkKLWY17Lz5bkUWpKMMl/Y37WqpkJ39QyriTDsyj41Nc/3DlNCFTVDJ21l0XdTCcn7Mhjl
fkCTkSfrvhizUqZi3MVW0k11KZPcMXEXC4e2ZhdPSlEIzQFY8RctT3rkwpllUeLCP7p2Foe6JmHK
0/RLmCQsmZGSqXgUBcq67CtFyDjUMoyOgiaQNOU0wIGaeGWdp1ewGJPD0O9xNK5y4GCUqdjvRzZq
e+bYYZc3J4ndwaetgaiUrodQdViCZxy7vkf8ygW/AOAUVIJ9kvYh6RdxBPlN1wYGEpd0SVDMkC6M
qS9oZDk4igriikx4bl95kcm1pszZeeg1oeEQUYQ9T/Kw1450LzbGKPd8E9hlNB+hLuizWSBQ448i
ZgQNH+7jiAmWwufjk8JpG6H1XLVC+6eEM3E7jQuQI3yK+lT0gtu1oZHrLm5wdWrlrMvclBXqxKxS
WJJ8SSMgYAmB2fJEgNKvPYrT4LDokrgdy8bsBfj1vro2QmzOzdZLPG4j+HjHVdpSMpJWL4D5CoWJ
G5Miko7deCOBRPE1bhqwLEI/rK+kaTXf8jIg05o2vjeyI1PHPLU9GMeMs7Adp2WNTnuImxkXUpno
GikN7mgsTdqOQh1tRzVOQjEtW4ybWUp9ic+ERtnnVC+GjzMMCzmhsQzkedsZynb0ogFsgiYFxjIJ
SvcIVjD2mdg6fN0JaMnShX3ubTZTknn4PCyrKLrEdsqMWWuETXWiWjUYn0HXnpuRZrWjrEng0VnW
9zVvcaL6iR7R4eUH1hvQT8BXnqBTw0zhLarChKkKoizqHRbVIDp57EfiIi0piHxZgVXgwzXQqVil
wVmBjK5MOckDHeBuyrY6SbQgl1zoVdGOW2iDR0ZdXeBBaYAwOfBGoEBahgY7WaXJZw8OfDu0ayFs
bgdmBN9F51vzJiXARluG3SVRrS6PfDBzw6MsT6PwyobVYiJTHZ0WzC++QvmzVfDACAQ+zGyfVUde
kPm125W0aMDA7cgkxzCtjk6L7iaKI/O8raSeTQu9q6MvjZX4cpp4WvK969mgQ0QRBy74ATYZCdwF
cpxbCfui6V4yTprcLzg1QM11ZRNcikzJI5ZEoemauMQ+qD04EpzXAWafy1Cr/VGMUxCTXvMImxlp
hopFAgq5O4RYNMhGM2jsUWhqMKNt3UN4UplNcYTKCluOx2JVw0pLah1M7yL8p2Q1u9Y6MNMPe6ZK
dKtk2kmeIETrmWgwDNUmKOgdo/Etf5YDLI2jRcwa91ldq5O2o/FVWMuC21ROjaStzWnfWABOpCPZ
T/I4yrKT1GqNY03pRjYKijSpj/yuyQPHNmUSXIMlIm91loIaAdUpax4FspGcNbVdwCrQFVexXyDx
N8p6Yte8Bwus+5QrojEYTHrlKKBa5B9qXt58C3xdq52YSiuaCaaji1ZqHoT8qkKKkegr+EgFViE5
b6O4N08TK49jiJHWunVioMBonQ6sGzlqghxQa+xU+LzsaQK6Q8p4hFrSlm4dY7uc9HYBX39ktD51
O6/TpePl0iq+NGaHrsOghG8NVjr2Gb71RJ6nLEWgYHHOwrGdBFbD2+ortqvGRjyKavrJxGnRuI3p
K+PE8GK7viw8yUpY3OGLHuWCAJrgOHTtsSAqyo5pmQfkHLd6bM28NmPwXm2r+SdRqeWNm0gPdAZY
Y5U6iWMP+C9Z5I9lYEeB27S6PusKA+S+sywquOEFdBnT+w3hj5v2Xw/BkBNxU2Yy+64eR0XughkP
d00W2VDhIrdvGri5v+v/LpKCN0MpQwpp2Pe0YcQ/Cafcl0z+FcNr3c6fp18HVqC2yxi6kNiwttsG
oeCk3GeRoKyTQoxEJ5BiIGhIW2xkkaATDRxNagzt3KE47CGwAhXCcJwDeDbQIBION8SrTo/+IluF
Ln6URQK533KSTDgiEzb3gXIB2wN6m235mHbrF6yyg+osFCo/tGNmnJRpe2SnceGYVfnZShK3CFU0
TTMa94sgk4V2UXUdGHu9cMDOiC9YkKdcRd2F8o3DTCbZuIil4KjvIEAQIW0i4trgRg45lagOZmCF
6o6fewYHPeEHDquLdJzQPK6uOj//yoIu4xpsaOIUTIHQybE0DutW6w/NPG0Dz+nsThxWceR22NOm
Siu/+yztITahe5MOZeAloYjN4sqvP+dQoXGEhRWd2CQFJ0Bc5RUJ8pGddPo4R7Zw61LTXVqz1M0g
wO/GscAcWwz0BmJHES3VqPCRYyqsxmabn9pmUPOaZGxcx33LIVsDtkWQNtOykadISuaotPhaNv5x
h5pRoHculvhEN/yjplcBV2FecQE6kUMGxWkqWY1SQJj7nqZG8DD/u9dk1j9dH9beuBgyKeAcgd0a
SDRlZXUZROTKvsvA5FagqQuB0mIK7o2TFoE1LcxOpleW0lnJg8qjNSfUMyYENXXITc/8HnlVMxuq
XidVGkVun6TnXShPLSM/TOPgtNDxka20cSabQy2x3KwHnVOkXA97xxT5bZPiS6HY1zvh+d265r9N
i5hQ9fUqLQJ2vVps65Al9YYOgTTscPCWPtSRWhAW39AhEKcBTQB/CMTAILqwDs5C1QocuQdxBdir
CSd6WaDU1sHZoXjhTvBNk8DBmsx4S3AWktdPdAiEWiwI9UIzNejhMPC3GRGr81aCgxUQyBQbutO3
9azpjMJFISG8tIpxRnDFS9V9oRhkTPrGTUnsY8W6yDUHGyps4TNVZXCkmkznqZ6eaKFecrvPK7eV
9WlbWtI1WJk5WVZ961j6NRD+CAz7y8gIJ2mnDjHBl0Wehzwsuooz0BkgwPg4TcBF8TX6SUYsc2KW
KLBuvE99Fn4xwXXjYAO3jtUmZ6ZPzlBjjViRHdK4mEVmT2Z97ZVOFWHbqYN2AmHeEbbz76DHLqvG
Nw9T35tAauGbLTrOZP+5Bc3HI5xgTsBN4paRpC7JPUdvs8qhefC5QdU/UVsbThAFU1xlKc8lLXkS
gL+tapU6IienUVIcxpFBeFOW34s6QLzVMuX0sX0mkjJ3Gr84C806P2wTBSaJ8HyXJpB3i4LSd5ju
e6fSynQXXODe4oXRf7dxHZ3WBr3pBUxu7iXBBQaDhweyXASgK07CLJ6ZDFLKHs4h45pK+0yKNhlR
2gBqVWDw0le+EyVtA04QJFfrEFkTMeQ/rRLsRaOl/oXuEzTp89DnhS9inqSQaIXwRsZFQvyR3sXh
lJA2HmlC4EkYDIHLHsJwVgtmsp5lYG17yEVtp0NUS4qxoefe2GhIPCoThScqI8koJeEx6LujXoVn
UYpmqvN7VyT2d0gFWzykkIDVpCBuV3XhCHm0m0SVH4/0MLBhIlAHCrZgExVaPg/bspowDMZq4pcQ
iQQ37zJtqD2pcjMYQdlPONV1z3PrOiZcEqJdxLD9nSc9vGnRWhYXlm6NbV9TTtg1Nu8yPx9p4DyC
NRiJQ1PKZuLj4LrD8ryq9HQUaHbHM5XDyV8SXKHAgoBFwYzDnEFC3EdDwL0fpkjg9J9GmuGnFDxl
LgOWTrsKsgu49TMeeykUBtgBeIN574HFSGGOS62a2g2YgUFjNODPV+I2SgQFpU29Ue0n2lRX4bgy
45HnpQzCbBAmS1hacoitJNw2woprYWO7ZZ7EjlWH1kWP2ouwrS6tJolGEodIODGOTyHWpqbgjn1X
kKFUqA7GKkcVj1lcnggwrR3SWm5cFtbM6hrv2NJoPYF6CeMSa9VnwTKlubqqWm8S4BYhLqr8pgGu
aK9F4JyGMZd2UEw00V0jrUHjNvAtR6/ZYZpga9Q0HeKsrmBZlx3PIToLoSV/JNJUO9QMfSoI+VRD
XtwBg+I6KcJDGqbnDZWOptETaf7jUXxUZVb9dxfFi8ZSx62haTwtIelhN1VzXEFcZcqYCrkoRcT9
SD/G8LQgD47q2vheQBjCQX18ojc64jWjn3sbosgi7G2uZHIrKYSWIfI0y8LuAvJux5UpIOwZ1MRN
EzubRAKBq10Hptt2WctrQSlkhpJZKnHuUEnMcdcBhKhIzirNv4pb7x89q77mBqgHW89rl0blkWjQ
vI0sayQjAlFLmfljVCEwaqBoITLKUR1KzGmPEh7L+kTazZcKNpm4VDPOWUttniU0ndmmCXcqPeRV
FNdOrrKjKtSn4LGkTm1441DPijPBVMdDiEpxrWWuauEYYM+KuFkLF4KG1lewIxJzlKXtSYrVTWbQ
WVqZf4OjYs5EgnhY9t8gvApBxKydwkvH4wBD4DNBvRtb9DQIQcuwTOO4bJyIaRmvMzTVCmvaNYUb
YgGhaNFcQG3UcYwlcTwRf1M2m9KUnCI/n2hGMfEheAiYQg4Ywd/NeWAL4UhRfZeCnkM2Qo3qrJup
xAhGFY0dzYguIOCjwVpQOTHpjgIVXyRMc5EIrmPIYAVWOqVVnLpVIq5joRzwtkueepLypOunHgS0
RezYumwhoYgdsOcXXpV2HNYxrZtIG0v7XCRR7PhWeqmLshz9v5EErhZ02nydq/V4/8tDvd5AvmEl
gbM07HsnJjLvfKZ7KwkNLQ7AGDIQgvqBIZO19rTYAXhecAbx/7L3Zb112+rav0gb1ERRl0fDmj2s
2LEd3whO4lAzJVKiKP7671HSId3dG18LnItzUbQIWiTxtJZevs9IOPl+MeX9tiUxBLWC7fYVWPw2
n9/fQlqwj/55SwoQAoKehruQocIC0/1hS/LwsIxOvN7B0ad2xGn7XAVE4ej2WTGeGalNmIw6dJw0
LPrhZlnmB9KF+5A1OlES+lhVkvBieqjauvb6ZAYwCmBETNvVVzvPneJbKhZxMHocrl4gB+wgk3Pu
Vh7uVS1eYuvWqROSL/0YkASs0LWrsDkAcrSZM+g28Xl0ZxnGQi9AMPEB8nolFpu4jPvJXPE+xTC+
Nr7THnWHw6YrwhzaVXhwImOS0C/U0W3mnkG+6ENsM82HwGXvSzM+CF1dhm6RmSTUOdbGMScet21q
p3i4IzN9xdr7IR7xUQq3uUHn45IF3pwp07dZscRAUPjR+F6bGK6vpLFP3Tx8jOvxXJXqlTj+vh46
fLF28dIeWlQQriaZl/DGDuwrKLwmXVcQiViFzmskRFq0y5g689QlJTW72Cu+NKUPOxsTu0KoPHJG
TLbhpa46UHvbDleVnczBDX22Ffjo7fle2PAB8mibktof2b36PgicbSYMJT5fQRadjtBwmCtzOYg9
qLgdiZe9R6bz7MY7V9p3y1iVh5E+9yaUaSQxpJVay6Sf1ZAGXd2lksGdFvNYJIsXPA9zezM7Ps/G
YMi18aDFr+9FRHPPG6bUK/gbZM1vc8QFDoywz6bAip1LpvaGtXDMyZUmER3JYaiHaykhWIF/S0BQ
87RsBU1loMKkp+KovemprsV1Jh1JKB2WhLX1bqOw2k6mpd/vZ5deDdTGqR9iWAHAxsqpzbTT6ZxR
vF2ZCrGgNHzKotWSQ9T2VS46BRcfL6a8GkGsFXBWdRycr6LnYmFgs0Zlsims3shqeTpp8RYZX8Ko
5FTZRgMeCtg6smVqGuguQZV03kwS4tohMwH8gdhRH6ICw94Cbhy8rruZCmFSIN04KQykhmqEzOgH
wbl1lit1y0995BdJbzqWh4peOuodQONMqebxnemVylrHg4OwdI+EE5XQwZ2SEM4TnIzmThjnKMUk
k3Vpvsz1DOHG/zysy30dzCZzefeOIXUL/rdL5MJu9RKSHJhfJoXq9SVe1b0/+F/rAKypGsqD366f
lzq+NV7/UPVtnXah/dSCKEmUE/IdC+t6N3A5J1NBPykxXj1ebkJf815bPR7AhOztvESp1zo0UYFq
k5hXD6LkCx7qCmv30Dz3i3h2ZbkmVAdvktSvPZ07vPwCUrEoIAIJ/2YW7KmWztnl+sTijuTEhDkt
h1MhIH7NADI6xPJWx86naVz3US0uQnZtglVrSaCWv0wQOZOG+/FBD1GcKahZh8XFG29UcXDnNYI5
2Qgt5ofF9x8SYeu/++9u9t+oyF9urP/d3fXDC/+9Pe9XOzsukcI9QhtXANbwu1frt+MRNefgIfGv
G4YeDr2fj0f0TsAIFFMPqgmejp9JBFQy4mPhFxfVE7ie6FcX218hIumfLEoBLO2QTXEtKcPlKdtt
Rz8fj5AtIs/MLL7zOontM8SDvZe+4P3Vd/rSy8MStPhr7Hvy6gMJ0VOnqz61Or7QOr7IPm5SnAGf
GyD4dYSy6018twaBKJPBbw1GqW+PvfHHfNbxtWHLt41Yx9Blb/Hs7R0sk1xVGQ/HPcGSybBsmsE5
OFg+Qwl0s73Veb1cm20/pZPMuKSHiHgHUtcDYNiSAuNgyGC5BStz61mSVdvWu2z770zWw7ptxL3j
fq6xIhuc80fJohes+Ecrly+gNm8YzNbhBtPop1jWGR71BiYO8S5XljXbNl5ve3mzbejWcXYGRCDs
Gu5hxBKvt21+2fZ6HM8yH7Zdn/gM320PglMJ+9wBFMCwBAvGhhPkhhg8QIcyAB73Z76TG6pwJY/y
GkCDAXA0qtE4aoBBwKp+6gBK5rp+KHtxB9moShwc/7tuQzBgbI7LhmniCguy63RhRpZAA3EA+wwb
CpohsKegqi4DAFIXNkfFR8BYr/66dpolZENTsEA8sTZwMbHWNxj2F1A47rfJc04uoNgyrZd6w2bF
htL0d7y2ITexYbh1Q3MGsM4C3nVOv7zg9TxP4avtoAxVKtVtC1hQnwgtHpYNJ8qlqRUMHvFYXhyv
n23e47jiCQQlUVJMxSYebw0Po2OrWICNTJf7CvPbgDEY4xsvcspT1Ai996CMHvFzGUgekGrYlwWL
HwogpBhrmWv6ZBSWHnS4BvtBhkGbtbPhe3cVmN9RL71LBAP1MxOUHRzbkB9etX/m4rY9/4W5mIKU
+J4PQ3HHf+BY8UF+Qg8hMnw+2M1fIcJP4xEyDCo6fidSf0UPDDkgULIxbuPEQo9I0O/jEZU9yFGg
i4lu90ds8aG/MR7hu/sTetgMgOirh08T/2wu3J/HY9xFNu51qO9aXcGqlMpRkFNr3ODUg86s05p2
H9eagwEwzoX1cNrVYafxsNOsxAjAO7p+NHw6N8w8aGIua+HWWFVpjD2ZQY6uLFw+09PSrbdR5x/D
iiYYsyIZmbobjDnRYaap6cZjZeG77sBiLQXHZhXFBmPa/+YzPqXLd7mgatYUkqeXy8YZE8uCHZ4P
lgYtxmGsyk8rxRKl2mDNMc+6jMjhMaDznASz46Xwk6b+YEm6LlMS8FGnsi+e29jNJo+uqcReFlbL
Zzo3SV2MXYabzb+MdVSlyIm8UDgKEvhgj75hsBeABoNv5oXyYM+iwabF4u9KJp3EV93BozrMtGAH
ZSBxrQGmMzjNz6soPneTuSOiHJMQXuKKxFXaBc2+acwR5Fu/c80GZDSIC8aHrxzYJDNu/zJgRUr8
bdoV8/ROC8/eqmZ9q4awOIMPgnEv9AA4OM2dnrkfPHC/WQDbV1ptBgGhTLxflubshqP+xGItAbmQ
OdvBfpjaIKryoIjEDlAPeA8usJyVJTBabEUye726WQkzWQPH7o6JasiKFgGnCbJAIlVTgnaFNW0l
VZH3RFXnioh2z+JlevBCbZ8Wq8tMENg5GtWSm5V20c4uTfNJSO2dMNjpi1Zd90FJd7wvqVcdgWrM
ZYwLP9NrK06wW2A3dYKgvhRLP2xuI3OZpW29xHak+GxY5TDI48547D1ybUTs5mW5DB/Jih/8voDH
+tWpY/4tYO2cd5skhnk/5w1UsrXz4OLehDO9SWhKwscDTW1aLX7qSz5Ca1PQ3GC5ilNnnG/lJscV
mzAXEQ0UuIl10SbbBdDvgk3IGzsCR+om7UHjg02NJ80m+/WbAEg3KdAGjZuJTR6MNqFQfNcMveoh
+iEiQk4Um7AIelk/xTC7HSmKs5NyEyAdBilSQZM0mzgJL1RmNrnyHzboOxtEsBT+96kOn+j8+6WH
v5NA29/6aYxHuPraRUgA/mSstH+QyiJkexiuXQxRtQLh/CcSCHsxfgsDFvHMP4xxhjwnhLXIh93k
749xcEZ/9CSHUURc7NlYwrebZrbq45/HuMHQhAerCO4aO0Tr0VIB3KhLfyru4O/xgVod+EkPbAOy
zlw+rBu0baDQZtiIMMULWiWwWzf5HE9BpsKOHAhWmYxtUHkGZnY38Ixx82Y3ON358ONLIOz2O9QG
5q437L2B8GGD45rBWMM2iF7F0Nia2S1A3gDALxuULzdQX1IQFhvMd6PqWQP3V8D/dCMChMl6bffV
OC2J3qiCBpyB5cuTAIcAEBom1UYreBvBEG9UQwXOIa7llW4kxAxeP4nBS4ARAa2xURVw0/WZV7QC
Rtbxmw8+A8h6Sjsnyqf1fdkID5h5c71RIG3X35iNE+k5IPRGkwQK9mXpL0PaDC6QvnAQZsBOnbra
nH1b1bkHzmVmxW4W+uyCi3HByeD2kr3yVS7B1UDr0NAVhiaV2n+fQPQ2S2GTmCTQLS89iGAbwoU7
8wICewSmAGQx21jjth0OHWhkI+rHFrTyNPXXQZJzCboZKAMmsLC7aryk88ZIE1PJfj85LtsxOpzc
sPvcq7JNEb+4QPG4wJLZ47TcMA7b4I5roIa91rLlXq6+IyLHTuuw71ywTZxgaYRhABQR1c0XL/Qh
ncgFPqn5Cw7bXeTFPF0Yfrual3foYCqtcdQknTaHaS1vg75gubOYdTdO5bfFAe1ds/UTJYg6WnN1
tfsK4/6JCPup0oi/0VD5ecSDr5VnTgvh62tbjkilTgOs8n6fMg2bdkjGQx3KK/xqByAs5wID+eNa
4duCy2NMOGd3hVGwj5T2WxCG2VxOkBcaGucTXcnBRt/cWgRwX05PeoL1rhuQ82thBW147O9Dp4Kz
Gx75wQ0ziSMvdUT5hTejTdt5tTu21AN0Ob73HPWpAiEq8NiAF+xNAiss1CNl84n3Q+LCZmaWoEix
E9yvhfMiJ4JFx3ehQtQfw6JE4tf1okQVa4KnOYNx7NBGTZTSSZz6cKM8YPOdRxaCR2y+qXK6G7rg
TSvIX60FFFvrW0QszgO2goSK+NzDk5x4vq/TGke+LCuQSZNe9qOB32xCQjnxYtyN1bBPNhJ514ZH
ovgnv/GHB+vQMnFKBje+F34E/HgwnpOAUXwZy6A6DmV8tGY8F5wNZ3CYLxRKG/IRDw6lx9Jnd06s
riWh70Ngb7tOHhqB96alOEUHt58zWPo/aA2lCi5IPld7WZdx3pi4T/D00Fel1RFobf5QMF3Chd/u
oAaf6aSa/zWh4/+qXQxWDTD9//3U+o2j+Z92qPr3/4BC8Nd/Pb5QK4H7anxKyVa3DlfYT8cX+ReJ
kM0Lwx9hOxBDv6OQGLZmn0D4QOPMJlT8pGH4Hm6kRCesH6MzErDhb6AQtNT9+/HFAHS2AxG9NgFC
V/92fHEZLXXts/bOccdPvMLgt3P72V3DY+t2fVJTLD9yzqOwS4jGEulzcJ3j7cI66KML0ENXjR0G
qJPKaPZ2PCQ7IvyHpdJezqKNXuTrhUxFRh0BRhLPf8VAMLRueynDsU21gyewUW8dhftgdoOvhQd0
PzgdT3lozobprzjDwPQ3sF7Bd5fTVYeJu/Y2J7PTYlqEBo8xDpVojpEeXglNJ9Gvu16s996KUeTx
9jyb0E9g3XzxEcPJ4Kj9Kgg9AZwN2WgwN7iGatNBEwlLqDJ9FN/b2H3WhYWzgIGiKEtnSdpowv/S
ukotHzxkwnmRRMXR59MOGkSRjPC0IqdunmzJb6aoPw/FcC7xPSVireAKgSCyVE2mOe/ypvduCtd7
LNZ2gvMMtC1KIZDBUxrcbYNzLgj8Q+evVVqw4ZmF0kkpWfnMwVuMFX+YvHp4hZH8abXBcp42SOdP
at+6C0jkUb5CVTlWfbPvBmT5gzkUSbDAhTf7hZeA0Lgpuffkj7AqzNVy5+Cy8rxpZpt5oeW5jWHU
5jJ29o6YP/hO+TUEbtzDtJ66sKKfBX2bzBv8+rtgoG9q9cV+lrB5zIpDGFk68RS7Zf/QEpy77xW3
XxdTfrA+gSFuHkSUNLJk7A0sz22B9/eRTD05mMkTd54s4rugK9RpjYs0iOGlWyJ6mORaJ6QkVVoG
8Xrr1xZcVSW6ZY+4z/OCfHpUdeWNb8Q7LMDg7wSPR9iUcBYl/6zpP9Z0jKW/MPDSt/ZNv8s39R9m
Hj7CrzMPN/Hh8ogYJjWkOfELmI3fmBdU08ch+JPv0ux3Tvj3mRdud6Pjjj/kA/4483BBwWZEwxqP
5N9mn/07Mw+h5T/NPOz+uO6AxgQhMTAwf1zZe85gA9JM3BHS8gN2533J8chh0zzPkV5h4/TUxcye
2PvE+vvYzPd9HcDg1HefZeAJiFfq0K5lmMe+XFO+UD+pg3JMYa2ySe0sXlZOzEmikdoMm1h3P/L4
uQytTEEC+Kkh9oyAyQXs4YGJGIYpp9yP6/BcMC5SO7IbK1c8LaLRh7mdTryrx6QJwpNFZwLqSqIb
cPsfeQgEPVXsGi9Rk/Wyuk5EvnlhgJUt5E+6C4dkgaCJhFOk00bbG9pHz6ZAEAak2Uvcimdq9Dlu
XBS0tI9OCH0NWzeI1PJjLwtYRVxk14rlHNngQ9/XO5c7n7zKpCB6dxMZIxwMw2WIxIvH6K1fdnVS
hmavTdhDYgzeppah+8C0WHIiKITUlgm8xW3mS0MR7hrXnLF+zrXWK+KL3Z0EHECWzj+I0qsSs8y3
S6vnhNvF3YO22dV0/GAaXYNQcvvU8ey9X9Av3jQ8NvO6g3G/A8/c35uA7tayO1bIwYDMUvd0jj6W
Y8HzIVhfaIUZXS3hkMGD2aRQMcXOr1YFMBbtJ2mv0vTRzi3bk3Hb99JCLmaT95GW0kXuwytSLH13
tY6827aIDobxh/E2KI90xoRa2JmuIO5gJNhVkcbIHZFxmGydT/6kkXlgLyUFNzGjvCZpRbXHAdsn
TSe+NBEVWT1hzHmju2sZEgwEdshpPVRobcFJU3+W0n/HlRDv8FPyAx+D2y39AV8AR2JXd3m9tsGT
HzYIuqGxAccSKmb68dSF9NiGLiJV5U4y3uxcpO3y1Rgv9Thd9+z7QO7DecoX7VyrYfka22aRaUhg
1CZy3NsxUPBtj6fAGb0UMvUhplBghFfUSElFLEMv5sFzeL8X0rwhB/YIKioDuZSTzRSOty7eR/Gz
8LWfluOkHwBYxryKucmbCN0wK7IOMGLNbg6YBrYtbD/EGnl2r/ATpJWPfUwvhVZu0jVQUFpe47mI
QCmxenB3/ig8HJyU7JzWh3CPQMl59fpr4ZRffL4E16noPjAJb8SWXT4OgLBJOS0IzNg5V4FA0wyx
d0LgSak7WBXgJL8vovBSdoRkA6mDhNb4Afb0dZrckxLXKgiGREp2z1hXHA0VtwbOg0RPyyn2xFfI
tEMyrvVbF3RDHkFuyRzjNNlg8f5YwhFp9jHkWWmdvb+mtX31uP9Vy0tdH5VY8kqMazoWeBvornhb
tzSXt443hW1ccFnOgxmCQ++WDpyG5ZPDm/dmxiPjoaknR8R0p2JsY043JJDUQOO17SNSwt9iLZaU
G7zv/DbaB6LneYBwdOIM6JfSfOyhlpjwxu27RwfuiFujkbpDLrbOo9gWmbHaSeeiECmXRMCTqG+0
bGBriPoaVsHqoZR4N4cBd4+yrUtwmnjFkcVDon21V6jQkF4sYJDqtE2H1fngg1iEPxMPVmnHInE0
RRa3aYqdXqc6E+MUHECDwlRbnhpEV7GyjNcu8M+tUA+kII9FWInM9fSpwKUZuW+tQYmVkLIGqe3K
lyYGisup6mmdqrk+z7OG2X3SfuftqqXoEX2oFNhYXv7S4/OPMrPdQPAXloOfGub/XbX+fofBr6o1
KkZQd0/hYIfrJ9hM7L8tB6gYwZWAHozsPrTjDSv9uhxAe0H6D80kW4/VjzaTX63vuAgDhnk4sH5Z
Kv7WcvAnzRrFJpCr0ZEApTfCBQx/XA3UvMxjB7sr1IJ7yYN8raPsp5/OLzr5z10j+P6G34tPtioi
kI6waYb4DiEzBdty8lPZBMVh7c/RPN+poAYT/+SQuzi8quDgFveLvlXuD/yNqNXvAaGfPx8k/f/P
Z9y+op8+o2eYrBCdRSBomPFoAwbFyaoEpAvBhbouUrCTnsLhljbw+Ci6o/U65mNhYAabEOLP4RGn
rwadcke68R7rOASZqwQGNCsvoWifeuZBq5fkq3aab7FxXnqLGjzXC5BvD2Dh59iS+rUN4aMvWS5b
pwPYqvghaOheIVK9g7vO3/GhEvtiNbDNIyaEOOTsI8GM2AAg4YOzsHSYqw9Y3c5x6IskqvTFGQu8
SihB6ICSEphEs2AFzqPLtdjGcuFgmRDuPdjYBDvKsSdzBUqTn6FWYK44H6Xj8kT3r9oigBiViABb
lbvAUdUU7IOBncoqNGCCxLJzkMXeI3J7I+bIPkTfIznyezxHbEkdishOvWV3xu8xHjts1WpzJ424
a9EYNqF157bvLLz1arJZh6H2uSHsQuly4wQdtqjqaJrlRsbFrUOa29XSZ7eNYbJxnBjz3N9Jr/oC
wvtr64gQvrXgBofBCcHaTDfDZSqWfJ7X4+pX98SOaV+MWWXWy4J44szAg04QbYCnl7PS5HmcvRw2
Cg5Pv/0YtsDdRbc2t9Xc3/fNtJ/ZctvYBgRhEyVmoGCBJ9CPo2F9onRDkmBtc1VHH8dpBbXoEL7z
umE+zvMy7dvCU1dWjeulRQvNDj5aENVfY2e5C0r2Qc3ShU2xnQCoJcLk3aloq3sYGh4W3e9KBy+L
QKSAVXESddPXqJxhVaQ1vFFLHs8dFBnjZtBn0deGbNqMPUShYZAuwX6RekeCIpsogy2ZZEKIB9sH
910xjumCyEmC4gL9wazlB1rgqILXER0EL0HTpyYK5eMAy2FaV/JbDxTeFfHeX/rEWnTRoTAodRv9
ThZ+7mcK+wQ8l5hgR4S+we/7VU7BDbgFvy8rfROENVJb3d6QMG8j5OBNcVZKHGQIx6edslA5twBB
mbc4cHPQ6wqRNSkquNF8eLXH2H8KpNpMX106Nv2S9GG7HhrY6nG69ruh4jOaTpxTo+yjGpYyAX1w
W0mBxC/J6lrjbV2A0p2ZBw9M/VZH7EaMLQ7kGtnoRcGGU6ilgxtVs8P3sfbP6bcdAX/h9Puf7u2r
kP8BF+Ov/4yLcX+mF7IAV76EqAv9/ehz/4XzBu2fYI//GByFZxmOXzRT/zAd/NzIhfs43SgELP7F
xxD9LVjs/dnODLWMoAppi59BUfu30JcYQtuEa6HuSOs/Nli3PBWeu0BdG4PNfNk2Mk6QN3GDQ72u
ddZtW1ux7W+TmYuEjMOYRCueLBQ9fCABEh3lELnJEkxwMFoX8HRbgGN8rD4SZd5igz/GXHqbv/ZB
bvuk7QWDNcncOCN2za4H6w8l20kdExZZtO2krQZHLqdlvCVYWCOESm8ibftL7cGlKCiEZV6AhvK2
VVch9Mm27ZeWSNhY2T+WPUMidFuRiVTHETszqio54hdog4iC7h2dQU/oW3E2Rv4gsHHDwOMmxahu
7LaM25B/Bj9RJ2M4w7iAjb2Xx9q9uNsWX75JP51ijhMHCa5Fz+hP2tb+CAGVrG9Nk3lWDfkAdLBY
UKFmkl9n4AZ3ghs3JviGpC6OCthidaIhWfvcsZcZsMME7DUEDBEbHolXBEBiQBTJ5X21YZZA4+gT
xr1rqNzwzJy7MFunkx+pZOJcHaMN/6BF5QOmaHCNAY3gSb2qnqFEYUNNlVu6O29DUirSwFQUdO9Q
iClvN8RVNIuLrlh28QDG1rkKklCWWc16YHEF0Lsht9FH7RNTiBDTGH08FCUMOd+wHp8I0h6Af9wR
dQIXw34k9Uk10WMQ2zd3Q404eZIJ1GCtyzgT8F4lA3pYkgFAcyHagzAznnwX34sFGI3RMZo2hduT
+yGY+ge47PGJ0U45NOLOBvILzO3i6KFtEW/wt1hUIpFYXk5l477IUd9IhOgyBxGprFr8d1AM7zpa
152aDLYHxYoDql0+d3hEkSP0yrRBzhigYX4IPa7OHSMnXdefBhujDdFFglaUe7E4l3FdIVii6RL9
qAVOsKaA0U2p26m2eHz0Y8mLz2MZsUPvo0yndrqHwvplYrz5efSjYzNO/MBCcUKOtwVVTLsdU/2R
8vCjLEmJ1ayn2FrsAz7mcoHNUKNbQwgIXlSm33tUtEQhjhtvL54BroQljmZuETwrUYNxsjDiKNX3
J+Wh9dI4cPWVazUiU9QihWiUeOGk4IceR/J9TUMkyvwxM/3q7tjcPTEPshefSlRX1EBxnqjwAg19
XrQ1IHTVVHjaJ++oqo0UqGmZSW8+EsvIcWTlMXKLdk/xtSQj9SG5bU8pQ/0CDHs2EWN/CCboig7N
agE0WtcT0uGt4+JJC6YUNSsmWYMyymKuYH13UZSD/0A66L6GUUko/dE19TmU80n4620cyAcdgTGy
qtuXDtp0+w5ab9+4t9rMHysBXgqk3X0XzNcGmjZrzI3qLApnodw1esLAEfUTqrBOgSGHVanHiWH5
GecepnSBbTduzaVRYx4RKXbdCnbLk+amkP61wXKbm8XNI284efPcY7+eoYMWrxV379A3dot6tHuY
mqBjaPW5KLBVzo19aUsw8MHIWI4umFfVRYhsghBJJm94FGVwNs4gct3iXYM+vLV58uc6PFQB7UFK
bui3FGhy2vDwP2c5YBeaxP8azb0h2R+Xef75PN8+xE/nOWosYTIEkMPH31LUv0FZXAAUwF8Ncwh4
8C2P/RuUpf+ClciDHxB38v6oj/gVydJ/beluNEpQeBC3xNPfOs+jPxVBxF643TGGfNK2UmxXsv+M
+9QM9Qt1S84txLs6bZECqTCZ+pb2SY+QwK6J1oOjAuy9ZXeFyyZOdYWI0TKiMGedRNbWE5zMLprZ
6hlkIKUC6tZaZOPIFvg51GeUrz2hIel1IOPNOiNejb5KhIJamQcC6GvwP/JYwtTQ1RlH/ZzxajRQ
jP4XigCqjigaWnxyjYmzJgsrQoxq+UxM9A0MrtnVy/DQQbOP3M7NLdqIktmJLJxk40swI0VeuQMW
EGfZ1Whiy0bh7PqxmWFVlhCq0AMWFFjk1dydShstVRYWwDt2CWsnK0zwOrTaWa81Gm30DpbLpfMx
TibxOI81GWB4dgOeIXOOY2CJUSshN3/y2uWwf0fpuPq5DrGbN059P9frlMR9m3aCwQxC6q9TFL0X
MOBjq4eLwJ9uW/3RU5C9inVBfV4MCOqs4iEybpO4nfdatwpO51h6oGVhVlFwstBCqdNI+s+jV9YS
y0MpSB6uGmCVdoF3HRuO4VZGYbaszSMp9Q8qVRnQv4YEL30gnpAYFneDNeKCruA1RR9VDlnzzufD
sW8FaAa172S5a+PohOXqJYJZaoDTfD0KinBxH5AjtD6YG/F9o7AIfHEBS1xCWuun+HqeAVuqE1Kv
YB7x40uYWzibGbO7Kxh5bJE423XAtHAeReegq+AFwcpWPTXK8RAAb0EO5e4CmcNbr0TZBq2/CkHR
VoAcGMgD1+u1GNE5ZaV/B+kEvXveAamia1hHx6K1+0bPIAmtyvTEMaW7OxPDt228zUuvkbPCK78M
SVmH6B7s0AwQiUdsnDBjsqfOgaYbS3UwM38cenuRS/Ugu/mlmtyDC6oEYaBySOkYSlho/b1B0GcH
9O7tTLReaC/IGS85aMm5fq8N/FYSX5uDQF7u+0t4AG+dGBvtfRu+ehJNcj2BDwQpL8uLDx2KPY5r
OPGL7wQPcO987h2FisJHObsuDFXxlZd1NgCs9oM9Seo+kbhecDbWe1VJaAE1dlzfv8GVbq/dzCtk
HOhumNYo8cchKwdepa4DwX5cl7e4cEVOuiWz1N5ik7orCXtGQdlZKAdOyE0zDz/7A6EZKeoHy8u7
xQ2eR7lAlnef2pG4OfFgIUIZV1o1zm1B4n3d9bdzNbEEKfbPugi63EcuPEZ3VOLr9ty2+GMwYC7T
PKHsoDsyPl+wvZzxJ21ujO+fUHeIMBFbWm/nVtOaUovOww8lwI+Hhhj+qa68vA9rtBSE5P+xdx7L
cWRZtv2V/gFPcy0mPXAVChEQAT1xA0DStdb+9W85M5kNIllEl1kPXpv1oEZZRES4uPfcc/Ze+9si
tNs0Hp5aa/RHa/Bmk6+gmM+dWRzzHgk/lYerSL3Tdcq2CavH2cAPJuOO5MyhX5hyf2NKdeai7s0c
5iePcd/sOAQ7mTAEdmmq10oS7hAdXssFiuB5GY7aMIL81YpNUDTmzmqqbZQa2ATSh0ROLzCN3RlF
JdpYN266SHXlKjtGAAxSsX9Ic/XcxNyLvBre1JxXTcRGP8iXU5b3u3DGWZ/EwzaT60NtyTc8JPuy
z3jDmu4SOpQ/GLTW6FY/oo51l0jN/KEV6TeOB9oiB0ER1waXsFNndSs2qt81NPuXcTuieWZkczFZ
3abLlutuSDuaJ/VRUZrDVPHImrTa8za7A6f4nI7xJSOIXdeoX1sgMVGp7yQluh/a+KyZ7S0SkczW
dJrxGsXbYNKkAseZ04ZZgJAGcnMxdwX6dJk3TBqPUZke4qV4njLlbGXIJ4BNcn6rUePq4kYdYh/2
5aWWl4fYML/9X5HyvUhhuv3faTi4X7P/OCEX/5X+iL/wd42i/IFgnqm69Bew6l2NQiQOolmUtT+U
RD9qlBUDTlII7PAVsit+byn/VaQQdqkQIYJkSNcVHBT/Hq1K+6k1jVkc1RHmKXhagKqolz6027ug
T9psKeSrArCAmMYXRpg6yjB/1gP/rsL9qeuOI3xtkzAjgPCsfRz5w35N4Wyk45WmIREkx8JUPW3p
93kMi62U2U+F0YAe0JWX1txf1Gl1Z8gNZETOhs4IQdVLGyk9DI1muejPwSDPHRu5VtE8HZvHsa0q
JzcjVKSruThqs3PFBzosEFelGKO5MwqYdTWvtgkx0FFgmwAfMQ91Pq0JHBzkgPO5lqYDVUkLP9AH
H2Z65/bokNw2ndA4qg+CaRwttachLCmPrBClw7D9zLDvRsinkyBopy4WBwbRdM8hh+9gCZ7GIA+p
mqQ7dITs3+EwuPKqUuyH7hokoT+q/YNlNl/l0HgO8/mpWUfeaW8ggZ3jK60JDjq4PR892la3gmbT
Rg13qGnuSj3cxqYaOmQ4HCiAX4sxSv0hFysk9+iWsnKqXKFfKScMHcn/WJ6lPF+dD8mlamJqWOcB
QqW4tZ4+94Z017ThsZxo8pbSfGPU/QYnzpYptwBKB07sqCoxB1GQsJGsnYW5oubqatMxrGerY9qs
EOpQ4/Boe5UcFbokJhpw7l+yYc78zZyZ+4u6dhSGHg1mAcmnRsksGfNJHoFVzkinx0iK/VTKrmBD
Jj7b+WbJ1WMYBqHdSerGGri20ZiiZ9C1wa1q6xn7zpZz2U1ZLLOrLO19rNMXCOEEUvhl53bsd5KG
5a5RxDeRwCA7HOf7LI61zaQsZNdwsG+jZABp2HyRMvmLzMbopJO0LTNrR+dPQq48bkAeXedAnyeA
9BeGshSOnhVvS1I9RkYbOble3iIUTly1NtLt2CsbwxgdWQl8PHgQC3nEaDaoY+RJU1S/FEkZNv5i
Cmy/mj5hBRQndll7lhsYmepYF65ojL5kjiu+pJn2WaZx0iVeRVwb56ryZRStXaxJ/rAw8ocrXw33
qaagkgtHSVyIUFn1v5MUu2ki7xRm1hK8om4VNJj1C3L3GykVvpoWt6lGwlryNILVGfAytR2djdEt
x1TaYTkEEDQOF2aDelzAnaTFNOuHdohXEtz4pCdG601hdQxjMXDaakJivyJCWxyJiOy6djuO3SME
bLrfVuIMiQhJtTymOq+sUqRXtPjwjQs7MkhUPDxR5C3TDLlqiL/oI9tYMiYKUEjpBmbvZiq7rylC
eGdiglbo1ePYeLQfd5GKqbITtrNuvODefF60OXWMDGDnnD1n6nkYW3A//b7i9JEJ1JZF48g+4oLI
UhmCQOoeFXU7yMx3pAhB91ING8VIOipOgFPhoD4X2Ce7qRzdQGgaRHzVppeKy7kcn5qSbJF4Vu9J
HjCPlQAj+na1FoWm2gRbxntS9tky+nOHmJcGaAOjW5F1SMaSsQZo/XSibFumFLM+X42zY9jqJthP
5/K4oywVXoqHykt3tPvs4MAsrHdJA9q92+l+MTpdG9A/L+J8vGWw70D/Iidr/XrvBplN0GuDoPfL
1WC8VMHOEjl6Tc9Cmf8p8/uXI9NffQ6j3+9TZZ3IrA8HZ6tjz4pBtV5J8QUxCXaWfbXCHXC/Tz7n
593vz8vJ9WQPxG5t0JL8+ffUqGm0XorEK107NDoKTvQV6sPvr5n6q3v2/sd8+JA+EsVWRtt5Nfjt
PT1Nb9iKX0ymX3Z5zHnG7BtwFnbuy9u7k+lm9mkgUui+9QLvOtmP9hZj3EXn8n90S5//efe//37y
z12KPy/Cyqk0oLxg1vkuUH53UzNw87geROkKrtspuAZQcJQewj2EdnQn7mzvn6TN5Jxqf9wSEZMf
8IFcA7zy0eM637/K/42w1mfiX4+w6HYRqWe/NK8vzcs/G17rP/5RTCJmX6dUBqWaZaxc53fFpPgH
MnVUlUgnVsQpldwP7Yb2B/5b2k8mvENDEVWegB8dLwWUqkzioqJQnFFm/lvYwp91DigqMO2yQhFR
I4P+0ddO3fvlQYnAjGE/VU9R/ry0p2l6endZfrH8qNLP79L6CYzvWHoUcjR4VD9WkX3Qqh292/4E
0t4D0fKNCDWEgMmN1nTfgDW7tLBiF7USqESh2CG838J0BlhVQe4R9JJxgbIpjIa2m3iboMlT2+qL
kJGIIK+EsWZy2i5FgR9ll9h0tPRCGbpauQxz1GH2xCYdchEdLapzwsDKecGyK2q7KWqDb+BIOPJB
MnYpTA1UeXH2pZZXAyjSD09tZfStYig8Joy/XCtV3/poyv1OMkJHTUl2wT1Vwq0zL43KELzMbB6t
JlQ8SEvrMEYFg0J/G/1G2QG6URIbJDjVcPycyvIFXmrXsnL0BiHokqwot0WByqEhXyLQMnoh8RGb
rcI8vXgWxBH5vjp9o3l32THIQBm2LH6vmm5YdWeD0DaBM6dCdZWKAtkJ/b6rxBJy7Xw9peY+WXDg
h0tDqZ7ua8N4CaRhtBkNbkNsWn0av3TMuhhlwafVzC2CwUuB4A/6dW4UyE9Q8fdWb2zzWrtQixq3
kTwcM2Vx9Vyh91Rv9bnGuqta90m8wJZMs6smAKnULrAsY/GpqmWC84QEOaR622X08DCSpTbowzMu
upLKfwJQZsa7OatjW0s0DW2rvhHruGU8SaGrWt5Iuc+9WF033eDjP95PKIMtdXhQS8UBL3HSW5gw
3XKZxupNlBNRSNzJxlCHYzQ2u3Ied+GUPEQDBWVujdtsoGkjZ2ddYifskuwB9/A9uMQHPej9ssFz
tmi00JpnXe1QL3bWRlDap5Ifz3F92gjz8iXNDG82IqcJNFdJp4tqTEx0qhjx1Lngj5oAJlQjsEPd
eOYt8JM4eQoDJKBTC4tQQM1kVPW3uUy2Zpd4qlI94wh4EgTx3Boz54kgcYfJckQte13S4DqFHMcQ
KrxIiVHagIBLbVUwbiMSDuqqjxy0QYwW8/zVkjieCQAnPHNh1GtObbGPkRJDt5IGV9PPiaU+9lVL
NIdM6xrDAW9PMp5FKTkIfWXacg2BTqspcwVJu5lMjIv93GeHgQPhKgptPSurkFmqGKnHVj+FeNK9
WNPvRd2kBVwH5ivJDRgnoQmAtav0nvebQW3r5LOAiYyWTgzNNNYvapQyrsWlsJW0wh8owOOloxm5
DLAaAlcE0esW9KdEG3FgMHUmYXmPkwxwpBnNst3VzaHDps7ks92RdqTakkLtKsl1u8UklHhh3F/o
YHzsNq2KjbRoGyBIFlWrjOpDzSqv7NYhbh5nlwbeC8TNQnvN9Dx0gqB605b5vgmUFyOFL6xIxySS
cseSBMGdM+EiSJl5Spmk4UzVJhyTZX4utV7gVTWC7KFPi5txgIgCyvZSxR3CyuI0ierComXcXxUH
ozZYELG6SMYK+gM8UjHEZo3ah3WwJX6BAS+zvaW7yBJhE2nRUczEh7QZHKUXyZRkTFhM6bOaMAdo
ofUxENBJdxDBhxF19VqNgAQWDLDA0cl8uU2lfPQH2rOKUcaARzkHRuaSekscN8fFTE+KXG1TThdS
zZhhJXRysKSfPGouS95OloLeC5l077J5uNOF6jaXc+Radp+5uJ0iD1RBbrHm9Bgi9ZIivKNHHwvf
6jYSwZEyaOfjVLepdPWyVDLkbXNqDNshiYZNoeYzcDAreghqPkHus9siV2I0q6K17+cm2WdJeCqo
seHiK+YOHm1kq6Vxq9VEL9kqTgO8QvTDZzUIfPict3ow35qFtqynGQ7Wfdn6Wh9KtjFOfjebwqYS
B/TXcw0Rl39oN4PWPzZxZvqrVR0PZQxcEZ9qt1WHgls8Vr5i5vC58vJJHxgIjPHa3fb6FkvEbOzT
er4To8QbAKjYZRXd9ZmMLba2DvDuh10pMJQogwwmRE/0UCWKT9g2FFeZ1Pqxh6rlVmW+wK/lQTeg
ggLVVh5lGpTnQNYmpsqCxflA/KzJ86GaXuHqhGpRaiB/gHq+Ckvfb//wwXSQFUlBxE3iwlPYaegA
x6b1f18FyL/+HNSbaBIVXvsPPaueJCmcwVFxyrPs2OryHavSlZnnzyyXjT3OFjdgzrbDVKHkT7et
HF1Eg2ybcnFgpbogRBTsT3odBQBZa9FTInIzLAJTw+Br2escxHkF1MU86WJIufZ3XfeLAuaX35yz
E/oelfyt70SSd6W2lvcltO+UoCjMe+F8K8Kji8pP4kyt9UDx7pQGbB8rPE02TIpcIx70n+9D26fV
nKdk6ZGl09IrUXcKabe2GNTsG8MAD0kYHkl5K68Li2fQEnejOa4euYqFioHgkuRIAZf+moBf61yw
K+HuRhUpMdRD3uFoMmEbWhmeYlzDaFS55jLvjZ5jfZstbbnRpOwl7TJHyhiRLGON5k3SvSiLUy/t
lDehkX0NXDDY0BojimpJTlnDG6SxZbMVUdpE+q5e5K+xyqHe0OweM4Q9GdlxXiCwG6TUbUVpTI5i
VOX2MvURdVMXc6RHKyzF4X3QS/ltPSL0t6TwQstXab5edVsduMVQssVJFSJVog69SpQvYdAUqOxR
YUpKdhGILz10FShFrItPpsCAwBil7ZyoT9maT1QwsrIrnf4SEKhFpfQAoJ+6RtiTCivk26bLNTuX
pn0vDi8pXJk32mwbUYerYmTRUS6Jz1Xa2o+VFk6MPN3kup6dLDjHkr5Mh9poPwmTBbz5i+eBF9Lk
cTCxha1A8/fvZaAQVMR/606IuF8Uq81duhzZSRdqUmXb6DlsyS/FLu9I+uSacdYw44LLa/BDA6Yv
W7Q3x44YoXGRj1ppPipqEfktszS/70V1R3goJqGYWSXDXNMTSxUSDJu6O5L04+IDpx5hIRLzEl2x
Vp/DHAuTFLUluwEn+g7RWlHVPnFfRGPoLzSPNWeQSuAuOb4feaZ2nkNX6SRXJynBaTToxs2oPyYI
isdA/qIb5K5WI8sA1ni9mG4DK7kwsLDX2GB1beYJqex+ls/aMBzTJDrXsXaTG9ZGn7tHM01hZjNU
9PS6pxasBw8J+oCBq+Wcy7BaRPvsSrrwIvBMOJWlPEmK8ChFQ+3WZGgStcLkaBEILphKT1KbjSgm
O7BCnszEmd3IVVNsOKY5HgzEXKM0kCmcoUzOultlrE6WOeE8mV+UUXyrlealAD3JoPkI89NNh/Sy
jKYLo9D9EU5jZGAJiguQhFZ8nVZCuiP5zSPAyNOzwM2r7wK8kHMJL+MgWNdj3X2LDQGP7Cw6ap/4
Xdenjt5GOHI7R5J0YsKUTawQ4myCV/TUcHHQCjKF7iF4SYGXSuNDCcswFGhE06QLo9KXU/Cn7OLR
iGZKyp6GqvXxQBUE76BJl9g1s2D0mSsgzcsrKGU1pqFU2CSYs5YktQ0LPuMo0clrRRbdRZb8RDJt
bTSvQAJvw6I7hGN9UZgaVW+XkeRVrWnSmbFXw/FQfVcwlCt1soolsvCSbVSh4G45JWS6k8A0Rx5e
MAmnpYP/Z6SOOeWTr89+qW7Jb3hAZ4wASjzqGsRRIPkXSTS29hAEEIXkAUudxiTYSIJiMw4Y+akb
tkw5W4JhjG0zUIUYZUcuYDB4oOylT7a2T95UZT3+vtsf5MiaE6tKCeNi3x/aY16gFxtyJhyXaXOU
OLH8fj/60Pr5vlO8Wxk+JpXIUVRwumBlKMuvEmmM083KyggfR3X7+w9aw27/sSfpKtNLaFuMtLR1
Z3z3y8a2G1B2DNNpkWYkC/HUOnEg32ptSKRVKfDM4YSsqhjhH626o7kCIPQE+t+SLKI38nedVhK+
kad7PRWKaQ9Kfw+B6bIUjXNG+capx+la+UwPG4QKnMK8i5/xjD4IUVbdhH06QDsk4i3X+oOWiDaF
hTdLyDQp8TYFWs0Hcl7P1cKwWtH2vdLtoG0dlnDeaWQX4rw+NGzbxCodUhmSCE1owBEOuIyHvGq8
OAt2YwXEM5ugl2v5yyLOmkN25FONsORBXuEwcquEn1zVn/st5vfb9/6irm3UdxcVhk0RN4E5nczp
OVpeZ/OzJM1PbtqHjQOeMjVymM6n2DxXiWXXyt0nj8XvP+Bj6i8p3amYyuF80uSrmD47l0mM5j+7
iv/dZvJfVwmIAyWppGFg+vkqTUY7Rq3KrwA+A1u9G3NqkjtQ/5/cDfnnZ/x7+4t4IaapNL8oTaUP
HzQncTGGSwVSxZbe2NTc28wPXMEjY9N5sAv7Yac7w8XrDTb6+8l7ybz5lTe63X7WpZfXPtvHAvDd
a/39i757LqwhtiorZBmBbOCKjuhN536TX0e+5YFQxPex4Tr7+GltMis8y60GTz0Vb5/c2199i/dP
57r4vPsWWdCCl2m47o/TTvYMu/OtK8PGdWVH7uZBcy50N99YJ4St2+KsbW8DN9xMW9Y9e9mQ+Ny6
tM5cy4V0syWd9TLCe0IP/B6GwgmU3UbbWbvyMG6bu9w///6rfzRs/ePF+lBBC3IbZ0RN81zapV35
7dfKr24lt3aQY7uRG3ukK+3LzdXbhdfvNIcDe7JPbGufnDB7OwHpnPaXwPmsUf9z8/Mfr7v+YXeI
yYhuDJ1vFe0sO3KWbb4JbtHGpmS42LpNcqAz20DoTvVWfqaR5v3+qqyP78enSlf/6z36sNqw1Ahz
W83TSVxKzxjHAzETp6HHJ/D7z1lXld99zodVx4xNZRiWDGgiXpthfBOn7ai/ovmrGTcJ1Sdb7q/X
0L9/1cfDpJCz+Gt10p8iI+Xkd1OF17//OZ99gPzza6BMJmq7nANUqh3khD6g9Zmh8ZMbY6wv4rsX
DTeFWWBymE9ldWrz1K/kx6U3P7krn/2MD4tbK2Utrvukg+C6YgMzx5oS5/dX6rPf8eEB68ul7YsW
WuY4TE6sn4jJdbAx/v5DPnm6jA+rkh6Ewkxzjt1g0iGcFF6adZdr3q4xg/Ea5dMQxp9cul/+Ls3C
1cOcBSHGh480IeEFVdz1JzX/1iR+ivUA2+Xvf9Yvb8+7z/jw0mSh1QpQq6aThkdFEK/z/JOuwmcf
8GFJXMgqUpKyHk4iizbN6FTJPrlM3/fH3734H55j4nlMSHU8x5wN7NoJ98M2PXJEcPYQ8r3wkryT
w++v2gcQyY8l9e+3/ztB+92rI9H/kzo5Yo96pDFcsKoeQz7bHl+I294N9hWWef6DrXm5I9nmtWDf
YMthV796qq+UPad2cGNwIuxt4USbz77eLzfy90vuxycnbgjHCXjppMt1IxdsAEPqrpAcO92o7kNh
70V7PnwTXzmcNXfzYbTHT1Yv1GS/X40/3PdBaPWoRpF16tzBXdx5sWUYg4fMvbFO+oWy6d0n2Yf5
T8fWbzZQvh3hkxX6s69gfNj3BCQfajFW3Uk4lDYARggvXzRfco1D/3XaVl5+YWxAJX0D6+ZMm/Qy
dJOvnzwnv956/35OjPXtePecpNALYCHyaDb+5Nc2WUtrVbdLndthN+128Vq0nMi+eABt6uZ+tTGu
kNC6vUc2ox09/zUo/5cl7feD2T9elf963T8KMUzBYjZUsKTUnrrRYUe6k7/4ywUgV/st3AV+6pg7
+I12eTE5xp1nUh0UXrdJ/XPMSB9LkPf9Cv0PjO7XP/H/YyYpHABep7+7t/86k9TL/sMtG8yl/xzN
r3/h3WieBFHsm4rKUUNeA3HeeVGkNaEG7IfOLrA6SH+M5pnnrxgGpvbfx+/rAvVjNG/+gdyHNBcN
uyC4HlSp/wZnDo/rTy8ypxOTv4NwSMSLYiAQ+LBD1GEwaQLtp0syh+/H1V02MCUXUKbaRtI2V8Ky
etDQsj1qKtEnlpbVTHUFg24JiX6tMBR7jsM942wkVCLmNuAqBvN2kykEQ2p/UQnPy9dUcTSLjdOp
fQnCwCKyZXXNJdjnSGOHgD2ZEUBI487CYofoq/D1hWmOgf0OqUq4bTDkdfH0EIzAGYekOjflmq8h
xNZWEsO3AjvfpIgHIe9PpciJAHKohJk0kfxZw0DBnOoiG+PNvPoDS4yCcHmegk7ed3rVkvZO/s8Q
Zn4IJcDpR9xl+qS96lC1t4z+mM1O2uxb5fRVL/WvkCoSl8A4QnOwLlqT8ljIZbEnMqa0GYW8yEN0
Ha1+R77mm1XklymtcIpXwxEgFpT3E8BMHCvSJpWgt2mg2pCt+2FJTlYAQ2bR8q96JnnTinUrs2qj
AnozmvFmpPuzBZGNkX7QiHYfl8VNYkH3emG6NKJRsWPgcTEQuWGlyQEV/C4cKGmjjqT2AZ1jIL1T
9O6ZLHPCnBV4Cj2AumUl1ZniTCQA3birqYXzXHXTQroZijXrIhKqb0sfMTCHeQRgoFfh0eIhUZds
2uQx5Ks6TqxdVc/RtZLKdyR94UWcAc/KZmQvYao8LaJh05O3rP6217Pw1JFms1/EvCGZWki3RC94
I9J9CeIPXVcTIzLoJzwj8f2KhKLdTN2qCGBoyE1C9qBXk6uVHWW/UF6FSRDYeguDVBdvDQEX8Jjg
4O3RLWf6Xu0LLjHs8yCZHiot/mIo+UUg0HEspJoNnb68bQj9i5q3gH9U5QkjzDPqVwasobGZLZWD
XpRsZTE810bZulO/MNJWCBtYTH8uUndiuFBk6YUeGEepFxATz/M5X4pv4uqaGXpTt2k2k/+Whhrt
1+SNpvGjJpNDF003WdRdzINwC2fsuUPNxqiDdkovHBiMn0QluJuK5DCPxL7UgXwf5lBfoya4DSbj
0CVcoUoOVV+pkJWmpnUqZPUpMMY7nageOwvJtpkEFK9GLL62qnUzNpxDq8aXg9V/bQyrseRGmfkt
eRBfN620I13Z4aS3D3E+9zptVUF7DefuflUTh4VGtqV2GcXLVmlypotYVdN2ftR609wkIeiQNKaV
wjIHtrEWANDPBPAF04CnLG4emzbfKxYdbEXeYRG67wvCIgcmkE6tjDsCG2KHB5bYTCG7IVvytVJy
guhSpg6Lbm7WKHKPtDjTI5qo9cDy5z5Z3ttFBUlGIlWyK4zKmVq8sTLhmeuKyyqF0yZVh6uSmQuC
g070ewxMoYgrWAKbK3IJWJOulVk/Jr31hvuPZ8vQ72RdPSpqnTACJwtxmCuQ7esS10QLkEjxLFuF
nxkRULCqRdFCDIoladk2h6QlZR1Dj7zTHZ3nrV/CsySqr0YOuTiUzSOhzMEmDIkUQV5/IxlKQ4hn
KjmzbLzKMYMnqchATOqVNytMVvIYUgsrqZ+St9d0S3BO6oVefyPdFvGA+gRQ9FsVCYSRDQMdf9aI
OH4Yo+GysaJtrpnf8JmNXgcsjiBLkWDRupKcuNVglyBrzx9yEltD3F7hbHf6UHpkMxw0s7m1VrNr
s9pel6V8LpfYAtI2KERPL4/BgO3VGNpXvRNqZ+mbKyRNpwg/rYKvdsJfK61GW6Vo9tkie2moZl7f
adf4ao+9JZAasNp0E/y6Jr5dUYC+36xWXgKfRIS2/a2CyzcOiFzA9Zus9t+UiSbfZnm0VmdwPd/n
2niNEuaK54GLgIc4x0u8aOCpujUSdRCJzVoNx+tou8CBLOntXsSRrIrTXSHjAMSprONYriy1IFmA
t3o1MxuZjmp6NThbOpD6eDU9FyLTE9ZYd4yrbYEvulkN0gZO6TDRIYKu5mlttVHjpaZ6qpLdslqs
hXTcFd9N16v9mthceUegSuxaqzm7XG3aqdiAF1+t2+GEin81c/9PVV7vC6///F8Y9kyF8q/LM5+E
zOJXJRn/6u+SzPyDITvaHIqyv3SPf5dkYDCZRFB16T9wVj9KMuMP8FbA6Wn04675Xq39KMm0P/Dx
cJAHHPWne/jfKckM4+ez1dowlrHzgxwxJKST2grp+ulUkROBO3WBcYLcvQ+7eiiO3SjPzLHyoapK
t4j7ZWOOLVqnKA+x+loRDN7SKshQ7ZLoaVLacx7VsxtxNiGqqN8Q3eAik8c4IBYyLsNMt0srecWZ
HfOiarE3C0zoikU7YYTusDEIT+WY3xDq/DD2pZRed6Qqnwnc3VrjBCUkYEjPmxyKsXBKg8KEQjTU
BAgL4dNcddFVEESxfhVls3GlFSYjZBW6u2LrjDdLLL+5WNzqhqD4AevU6LWTFHSXtdBG8X3PRjxA
uBgfUtmKiLBOy20cJcnMFtwcx0Tdj712o4XqTCppcS8u2W2vEq5URtWbvFI49agnVWSJnWYVvEnK
a1QgS2gE9aT3MmDN6b4HHuUoFITCILhCzhIQrvBJtUIgY86IKdvCUJnZRg+wDk1sHCk4QO2MO/KS
8CHA+EL8RbaMW6yOX0U1ib0256JoZndtoDDjfUZrOfL3bRn93POshOyTY7wVFywU9eqEyTPzts4k
2S+LFMu3smqYEnkbQTEuhqFx8zHeKRFaTi0nObtojAWKRVp4DDkzFo55r1TydSD3uQOuAjSnKm/L
FB+IbDLYtOZJ3mFJxsPTi1/E0nLNvs0dIdAY3BqYiwvrhYHtQbeMQ6vA7I9NEp2UxSLSj2ArK2r9
KRC+aNbiZ+K0A5V8Chu9YhTauFVDwBKdUaYTQfWtKzFO6PGY4gDP38bImogoKR55pDtks4OxRdaY
+jxe16pUd2gVy1OHz5u6MbjKLFxOIcyKMJJugoogzp4d1RanRnPI3G4dnjc30srHPpHRHYTdvuMO
dm3va3UUbyYNLZYu1qUHS2qXD/PlVGsPUtudrC6+TbqShEqxvc/D6CZSo9itxB4145qHqXeKPUTN
zWwEt0QMXy81s28UCZU7SyMG5DieXakJrnpSEOcsEMi3Ed6aWohcUa3SzayxSS2SlcGiJcsm1Fry
bkQm3Oq87MvKuEzmkpmyqY1osArFyQeYWrU6XsBG/ZJl8T7uTdjYbXzUE0RJsWgc5pJoYZGITjjY
NSBnNXchWb00YjX6s9VdWo36OAiR6PCqD3Yy57oT9cq3fMb8mVblTb9UTodyduHKIIKZFlstSsiK
Kfb2cSm2gsrTGawlXZvFX7NZXtgcjUdt1M4yFqPdUKZo1xp5xzERrZhpoooSoHeCv3DEXFX9sU4u
41AHFJ7e5NlwCiOe7TEyIAglqRfn1pUcFgg1Ms4TYzViHGum2a4L/XaUCBUSG/FbIKvPopK9QVfY
1aPCPh92nCcE+avaCvcwyywnz/P7fOxkT7b68zx30ibW86dyVg+aUM4aQZcz47q9oU469mCzMiAd
iMj7ovoVJBiEGg151wro6bX6qAtTB5yA09WwvDaK/FSblrK1RHIJKsu4WvqhcM0uApLaEDGuk6Zg
W9H8BuOj3YlGR/IaMiWzErPtLJaz3RuYrQmPf0ZWeIa8ZyIGNiG79MHoNj2qtqSqSGyNReYegEEw
XX0dltlyC43KMpEHdwhKY5umBSQHQSUxEsmenYuc2EZ1fMP5RhexhSsuBqN2iieNvlFbo7kR5MhV
5PpmLChgZhNar7TAFIiLifsUQ7VRZjfWktmdk6g65sa4m/PgGXUA3TDodZ5skFs+KTytVZO86UbB
KSxIFk8rAj9UlRlZDG7lslL9FLQvQhI9802Tgx/r4bIpkvq5MTW/aARSoINNScl+HQmxDmAHENzc
jqKNw8/yJ6Fg0ASh6lony9U3amlXh8pFYsTwiPPE3HBOhrxEJqETDPO8j/r+SwpwyI+qTtnLlQK3
rQL8mk5hsY0K4HfLmHNvxlnwNcjLtkBxb4dw3WytG3ZKTiiIJJnoJ7XhEGbWPrCWgxAvOXoVzjdB
ulw3OWPDyDibOPEvlpaTHsi61Vw5X6Fjvi1kfIGrAN+vFOqwPhIaRCLdG3IsKHO0XjeTib90lhDE
ANoBPJFFV12MHTYgbTAt42FTVcuBLJkLUE0ueRhXA+lPnpLUIrEqHLdjozlZWvJmgqbO2oCGhGFx
TNUFDc6VBhfHnD3ykHCFLUQoiuJ4D9bhpUyFq6yJzylcJkeURd1LGkm3G7X6mhHVEeYiBnNFJWgm
VvmTZNi7Y4b4Peb0NfTxKbB6sMmSOLhj3QROGfw/9s5rK5Yj3bpPlBrpM+K2vKEo/AZucgAb0nsb
+fT/TNRIW6b7l87pi9Nj9K0QFJuqjPjMWnMlxxxVyy4e4+ChClPwSv4TCmdaFx5dL2XxkLVPjqXB
128vy0+zYpu9+Y4p14bEOSiz9IGkUqy4ES4HU9OuJ73UV1oanQzStuBwJMcU/tHS5k51tJ4DzDDe
R9HsvM6/EL7KtnqkDiSsyFWVaIRN5t8yVV+OuQmMWmVktsb2kjf0UDXG0QFJqJXiYxhpH10mKHml
7fwmfsebu2m6ot02XrluSr46FNqDHusXU3DM0DXVnQdFOJnheq9hw+HbE8QW196+ixDDO60Ilo1b
H6ZmoHNLeHsyOvWY0c848XlGckJbbNrvFhEJC1zKt1Ec8D9zgPcZeeR1aixs6PXwuUW0pXJ7pgLb
R2Oxqah0FlbrHianQKhcRme3Yqgqh2+GxQ8vR+KE/fiYMLXaWln7ZgcwtzyfdBaIvrqXQTXOHwyL
C0/mwdZB+71SgjzMJLqvh4F2tIGur5XVVRnJC7JnMTm71U2nwX30CO7EtJttyX6nLzXjNTpG0KEW
6vqGDIRN5PPo5BP+W6tmJNFX/NMECrSQupOY4YhwNGuuHuq9Z4WHQcUfiOmjTTCIszLibTFtGwkc
TWxrla+M8UJoyV2Y9jiybTtb4lLfAjYEiAaCo7CmV0sMG3cIXoUbXZAoTVSMr4e8WdULzK5+MZpD
7HAR9/WRx+cuUIzV6N8ejBKYJQQb0dRrsbOCdGcWhF63ycoXVnmdu3UGOSuPXDDMtmNo2CuKQl+C
SmvqA5bcGRETffJiik92jOLdyXUn0lb2jJYJPikzQiaHAtjGYpwRNPSc20myr6yh02heTOLTDKyJ
7GJlI5Bd+X3xiOiMoErREwCuAmOdQryx6vwWfsW4aSz7o4KJgwAeTSeFl+ZHqBgcuQ89+4V80asx
kgTVeMQbhVGbLam7miWKQmLuBlCQYGZGrpPZf6FzsTVcabx/83tHbd5JkoZkeFHVaHNTgK5j6132
bXTGHXMxRxYiyYxfDKlWxPxeGJOiuinKV+4WBQgrXSa5uG+iyD60nf4++ejPp1hHTgtY0u67K8j3
IUUekT60EgvqmmHl+vn3esh2FoTUpUP80Aaky4VdpTcm8qi8BVIPKWLYce5eSHxSnnK47Jym2XU9
T3Rs8oKw55aJnTbQJ3BVN5O7mMp4W5pUu9JInpMqWtrhOcFPEqO8HEZr79QgtqRAQEymHCPK9pw5
8fdSIfYNDFD/KrosAv3SIc0izftL2zy7jOq0qVrVtcYOUC++JUOwb8PoqfXa+1IWuHjRhIl6O7re
LPhaUvdeqsp8jkpjxx6UkzEL9pPypn3cpc/8gvfh3Np71ILrsC0J68u0Z5ud/Lds6hHYV/FxJHN0
1fRxQTjedBp6BWrdNR7LXsdWnFwPQ/6SlAKYW4NrRMmn1CkuIiv8lg3MQP9dDf3/3VXKbNT75736
L3k9JJC9Fun39o+blPkHfLXtJqZE2nLLtdinYIWhbf6lbbd/YjRlkMqjW3PiG/uXf7TtYDFmeCeJ
cxaLHTKk2H/8o223ScPQYR3jcPxq9v/GJuX3exRbzOZGCUFbwu4A2Pnbpr3t1MCA2BmusM0EhISq
m6LZ/vDXufp5j/cjMfpn7MYP+z0WPzr4bRs6k4OMn3/vb18EiJZFEnlTXlkDcIoGJ12DHT20zNy6
CvW6IkS4cMfkeioiV1yGYeg91oFnJtdCd9Qy1LPRJEGyJOm92FdIiCM/XbuQcqfIoMoFIaVUeuU7
2iottL1q5E6rittWx5mvQmhflXczRs3OVxV4HOSzOWymlWNXB60krEYkr6lKXjTfX3VluY/T+JGF
AXdUFJ6DtlkLM917ITYYY6w/uLC3Jf6XVUrs8Taq7G6pYYxHJTnsqp6Ds/NgjIldZTVL/nmPgavv
dYnvyjLKA9FA72kjQ6bLNpuG7N3HichCqgTDpCO1rJp6Q/zZhd96w0rk84RxMBGDe/rrbFSzbKyW
hp3fAe4C1Wze1yMRwWbUwgpC7RGq4a1x7YOy63xTxeUpD8cBy5lnkYfqO0u/qAEK5QzWbWCcgbJO
WcDuq22s63QgAm7qu0cttsj19Ma1Y3oZFpP2A8YgLUVkAsiuCrAq9tEbapuxKnbENKninatjNaAg
DpZj3OXrqDQZU/cCB145fTOg/Fi8nYui026cQWNmb6Z3QyYJFRDJk1bVNgy4ci8Jn71M28FYslc5
NBqiat2ocH+J4CJo35BqbGRHwZMN5tIeK8qONP/mT7299CtBFxUYh1p09artvS3GvjcUuYgHVH3s
PPtNNFm4EnH0ITLuhMAWE1p3ecfS7MOOhiVeyveoovM1GuTXJjRSsF3LIsiuerN5NeJYX9azXwuO
yh7PB21u324iMW/cLPAIALiHta3p2Lvy7opJ8X0fdM1SS1tS1cJ6HsjcBmNbrQoEYJC02QfYaLV7
YrSnOeJZivjWJO+NGTv3vOy/JTrXUKTcjziWz46RzCEJAB2sMSHdAAfDKYeIt4RSXi45V+4DVd3m
tgN7KcHZm3reKixCANLj+NzH6WwlqEi3GPh7eN70lLg+cA8d/lycv9vG4G76Wr9PgpTLl9yFUSPS
tA9amjLto9XEkyYUQ+IkXKIsYdQ2+mwv1h6hlOa6tVSyLz+xEINd48or+WtI+DLVnRMMmC1cvAil
TJP7BNbh3pnG+Mq1hruqAnA2le8ZG9MoKVOiS8rvRlsxa6HzYuZOi5gMRErWUfzNtttV6vopZfBD
LtfjVoUqvsjm6C9Nu6m7WM5x5XhjV34Gl7xHlq95Y7GqZVksmxS7LH3KMrBKkBvWySYOc+nRF2oe
mWA8m3NCxyUwvcdQOO+RPlYLjrWKUY+xybA19KE6WsJ+QbMBhSwi/qR7CjoI9Jw5N3VurOPSuCkM
az8Y2o1S3srVggczwWwrHMaV+lEOwRWchiuVhaepaTcTUxvIm9+pQLD8efEqwaC9zoDdJRXI4KYG
WkrrWpf9pUe+X10l2GvYlzL6Gxh9UnvGQmMAoZ1VW8Pkk8naN5v3Bp6qWY3ftObd6fgk9q63sezY
y5Y+gYIsMP2BZMW4U5q21nvlPXhBP26rqjaXcQCLzxFlW14mlvWYFTa5IBNQ0j4PyBGOObcWSWGX
apE5k7VtVVEvRcoaVVjZQ4IFq26Hx2FIH5pKe2Izal3rnTNdceFVmzqtXirT2Ie19X30xbma0Kml
MljlGa2ZQyO7iqoeiU0Msj+bMnlnZ0Kdgiy8jYLglRGathwS3LU11c+6zFpoIDnDE7sNn3KTd3EI
75CRxitpaYeubx47o5jona1s48+El5Lfb9FH3D1LmXAGkO/mrpqunM4acUp3bswcQik5rIMamCtP
efPNl023slsv2/E0i1WVEgHg9jgxjXbY0m4VSysr1HbI9ZDIeDJPg5YxFH2lsxuIoN41SX/lJO1N
Y4dzxbWN+znlXvMhCTMYnVzjjqXxY22Mt4FTu3voS4/F7JTHrOJf/utrl+LhR+HpfOkCvYHW6QoT
P5T+u5vdTbvSFGbVXRWCABPjHIs7l9/aIWMbI8G/fq3fVhGUKfNiwTUsA/iXx0bhd4IiiPQErg3N
cCX8tZ88VArH3cP/7iXmX+EHzRKRtmk6dOlwVfJggrQGJflsl7f/gxeRElQLtZVhzlXXjy/ShER4
x/kwXFn1XYXYSAO0u//XL/HHt4U/1Q8v8TtZKCkDIoBXMFzZ4jarNlNG0O5wzr2XWP1/XmmWwPy2
6vrtK82/yQ9/sTTsncwlneiqQuZm5MxfzUOX0Q2s++wwoTv71/+w+Rf//cvBdnNsS7csUpJ/p8hp
gxjsQGsMV2n1aMymIvcuCI8qe/x8mX+DNOs/fEFoILH6C03HPivf6+gl/ZOmgx/w1XQYdBYzU4kN
PqXaDEL5pekwwAKD7/M4FT7T7/iur10hnQrkFOJ0iLOjHZktz1+7QvMnF+2WAN9Hu8Ak8W+RVdg9
/ubDggfVcmwwHgzOTVzUBI/+9rPpheBYR61Sp9Fif7UxCC/xTqUH7O5DB+vhUHNBceeat9g1TDtQ
FwkBGv4Yc5S5dnLjm0wABAKBXW30nlpYrvkW6IwrCum/QNa7Tfwku1IJdLVqcs2N5QC7paNqToXr
foSl4OrFo89j0UQbBrvW2gOJum6J0yEsy3AuJrrwvZanLXU/E3C1HHEaLmOiZy5L3WAZw2CLrUxy
ZOmer8jOUJvaoaxtK5yjKdS6JZA89kzsRC/tXh0SJ7oQResf4Skkm0STzAuQewiKbDcljAyh1ig9
5uYzG7ei2CMk5DNNlKuxEtgndVt7SjnGS3fMDySZ3Bku7AA/Y/rDlKlcBlJpl3Xsvg05N35VeMa2
cOKPKY6fARYj+LB7I8NhSoR0acfqngkq6OU6RCFsFfsujN/bYDKfqH/ZLrHv3PRuWq28JkWpogoG
IoHM5RHli7F2B1072OWoXzggR7YRAD3yPTv3ova8awEi5ZaWaD+E6k4rgaQXdm5vdVFcey6jcKB/
BAoS5ESdSjs3JUz1bH0wFqNKtAsjhJrgqTp0sGIGrPF0Kzm2vjLabZBpinp5qmu3Poe8d73JZvek
sOWyNAxITMHQwk+SSyE1cpaFrNhlmp7m7GHamnca5IRob/YJKNw+l+cIhUy1KCbBuA0gvOWfJZM3
Jl+J/OgNmVyYLCExkk63ds+FvfrvMfaJG53Fu3/hGLt7D1+ylz8eYvO3fx1iJmxQgKAkh8z5nZ/S
hV8mJxZKU4gDFM/6P863r8mJ/hMnCynHKL5+Hrj8eojJn5ix2B66URMMr4089e9MTozfXuUIHkgd
c4z5tXChkz82CyJ+uGDRPFl6yq9x7mWYNKvYAlDusLXIc8rRNCD5iZBPtguk5PTdfhxQZRVk2q+N
Xh5awsyXJb7NTRBD49CKatvFCOZyAyVQ4ZLA2JVvgTkahBe0pP5swaV32srSuocGVMgNUXbD1q1d
/yK0lbuPR5qPCphTiVX8BFKrWziBiRnNM15bv/nQ/a7dlUN+WRNhH5E6ydYnGrsbZYzXXh+71xWc
9WWQDGKlpzkjZuFyjEmmBUHHqaZw4LFgytZiTCCkd9rOiJk+xlDBF6KLvhu5OaIr7f1o0eZxv3Mb
IJdBOcGqtvD+orUwzr4Zo3fv8jnHXOY7DzzMouTlpyjNF7WnG7wKscaTJefoVFFR1Q+n1PPPcREe
WLzs2hqUaJubJIFa1dENfJBzbY86EWBW4TCpdgvOJx3vgMtqjkRAtZ1AcLJkYUQPy3NZh66/1oV2
X07NrazrXQnEeu+wBauHBOCmK79ZlfdW1MVlBahjAUPxwKV45bT+XdAzxBmGmnws+VGXxAx38uQ0
Q7MyGw3wZ844CAbFYzykBzePnsa4bZZKah9jIJgUtHITpf2zk8v3MveqPVOBaBnnsK8JFgQElFpc
dVAjL6KIG4i+JXomh/FKqPghYd+yIAUZ8GnujGtN0LAAHwCh3DTf3J7wQXdcFsTIolmLOrbxUUjo
RfVQWBIFsw4VdRRusGr08a7grU9TE8Ff1JORkk8A4hHNkMVod1dlw72hE9+9rqfuDdH0Yx8m35kR
2RvfMr6XfsLmcwzbQ45K19cEAWu512/c0fLJmCUkJ+Hjuu10tDnoqTNUAgZIqNK29lon5TYQhAZY
ouBBKMSHigndSppXaw6doj311kZMumXnNh9DXtKl6YpOXXCNlnmSbqLJQyHjo+2uJcCLiGfEH+HH
9wXaRp84bytFIDGofhv0rlyFYjxbvb8znfwqHPOzm4i9pkWbztyjfvCHk+Rnwl67LasB2RBynyRz
v3kSzXPOWnOw2E0jvEXpDKWU8VCTt4/gLogBG1tkHXEp142HBqWQRN+1cb4pkvJkmt220bL7JujI
YAku2qzMdoaJM9xUV2ba7+wOzYk3SD7t43jOUnM6CD19Cpvo0nFL9or64O3jyrswZXYZteU21Szi
TRqG90WSIBxxoYIgPKFhDoxo38XRhdlFF0ZWPqUGowukVawfDf/e9pxvXd2czSyxt2wCJGpfg/V3
aMMny1sFnhR3oNZxp9pksksXRbymspvB9b9NPr8f0CwCcpAnTS3fF2QpVtU2Jbch2ftT/V7llr02
pzmbFKSuHiDbCBUmUcmfddm3nwKk63awAKNGnVr3cWNDf6jdHdvzDwzHRzuKLqJ5LAjL3OJjXa30
LHqaXOvOZ/UKNQxcRgUtgZga48YR8gnXEEHFVn5tagyyjEl8uLLbthNRD1VOz2k2/XUddmDWzbs+
bE46mKqFR+BeVFO5+F52ncKhRf2tHcIhvY+cloKqHQ+uQuscpMhIRxMFDy3m0s2HhBEdM6RJZ2iT
Ixoh7GFcaXX6QZN+V5UBtBWDuSxxsoyVwvh7XTrnoCBORhfDtAInaC5zHBDHIdCmXSuQFgwIGqZq
ulZQgNda35bLRAa3IyPsztR2klx3eHf9xi7rA0sBpJcGOcsVWL6tNbiI1lyy7wjVe8zqORRIf6ma
ETWRCepHDD0KsezedPqLiVCCRW5Ga7u3NwQVQYcRx6isd3Hjw57jQ0T8lcvkxda3yjPeJqM8OQFn
9iittUvYamXU720cndqxeoEgs/YAPS0a1S0xYTwVDFr9hMHuOMxNvr7zWk5TwurtOSMdUC8nd8kI
LxUrJyHBYlTeXdlFp8l23pOWgzKy3Dl9xtvxcJNAA8XPsIZ6MTYS3e+EEN4eHlI+tyx5GbExZmbE
QjoXD9p1Dexk4XpTsSW0/oW7s14XUdhBLVCkEliWexZCE4z1HHNbN/VjlBi3DHDS2TNxb3jtUww9
CiG0GBdNy0cj9cAb+CM2D1O8WjAHtrWsiaoqXuu4Yvssiu+ND9pGxuwF89CaLsktcFY+G23uvNOA
h2AxzLJFmduLFjiLVWrFWmbdd6aezK696rsV5ujuJKEkRAct295HeeB2DHoUxvVC9iuGwjYwv46S
tuUEI34W067OU1bC9wYGsSm6YKdQR9GavFpMfhfMz29VMYXbSIuf6Q7enMFbEpSNcdpPttQRvAd+
f2s4qKURNnqHSUNe0BJWxiEOv43SiHSuiZgEzWjOEuBYoLIPmAXFUmTDeURJt2i04EK3Ilhubfkh
NNJ92es8IVsw1loFCyjI3ZckZK5aAn/Uq86/rolP4DRvpH+y+3Absu7WgIqFYq+3iawuixRqHWKQ
SA8C+HZVP63B+lThz47O/84F5oXhXyio97n6E/3w/M1f5bThkCFESYxd6oub+lVOG6QCEjlkguKH
5oWp99eZgMcgwaZedqGTUXrNk4SvmYDzE4Q07yt9EIbz3ymnjU/D/68DJMIBiDay5t+BQHMLeu/v
5lUWaBNwhF6LU9oNN0WRRquxyFjXXCuzn5BsRDL0J3dth70eIkXvk2Ht4Hc1kKabKgd+oiIrPVZz
XOgZSxA0MYrTwakxxYzwkJhgp6G1BZ2PUnlh22nUoAvz495cab4s8uepdjv7yus6WecrTy97ErMc
Z2jgO8H9aV68iUT3CcsBMfBIOca6l+CPkGVu46aUp7DSQ0iaNSmrw2DfVwWnPPwpjDFFAoItidne
VUN/JJdNbRD9AmBJk+7GcJPhVc8dp8R5FQavvV2Pm7TRs4vITQquosK/jDXH3uDCCRGnGlCWxWCp
a0JkCPjriuGU5N5waWA6gJFafhQD0mWEK2b9IqIIXGGLrmUZoo7ah07c3plDhQ4mzJ03MaVy24fp
wJKN4AEME9QctnUjJp38sVkBnHb6aKNPa1AKty2yUlfHNYpBbZMQtcCFZSDHaBqcWWw4rVfepnZX
+Tq2AKMkaUDK0Hy2pnK6CqcpJpze7MzXhDXMsaNi3Kskbh4tp7GAGZqo1MB8rCaRdeeuS974k+b7
SrrGrdFEerqMSZg42QMSPtCZ4SVMuIDzy6F4IjtqKyUxUfEkxeUEEAsea87QX2VYra1AvSF/SS9w
ajQPXVZ0JJvHOR7AyARxa6RUVmGTIFqloaCOcq/ZuWkbpgrNlRVZ5QpFSnFE1NYfmyY5UKBMkOc1
sakcNX4MdpjuRJkFh7GISGkiUkg7Rb6rEwXRkKhQKBSybctwpFIi35YBqlkbC9xidGqGpJMp/UNa
a+4Dm8NvWADNC1MT5Zlf399oZMCcCFae01lq/aymEHq+GOJ9EKGHKjCWsdEq1U1Yi2HVN0O1VlE3
roN+8jcNPsXgvzML43NmMRuS//kRexP170ibv7//cVoxf+MvxysjV6aa5mcKOQuXHyauHixrdwZJ
f8a6YX39ZeJq/6QzkmC8AV+S2esMmvo6XRnGkuyK2wPMDyjrvzeskH8cuDIPdoXAoOGaFES/k2CE
JtkSfWeZp7qoqtK70NLPaZpkJJrBmbXjBKWWaSUremSihaIBw6ChlOEtVBs5ZwFk4twVTNQIadP2
jpNbpy7R1Gowm/xIwHF2iyNvOMOZLS/QVxRvbUAYqZkNyS1r5vpIaKHMl+1ImJkZ2bvCFv7GiGtq
Xa9qi2eo8rpcaD3KvXqAEizTbWIapE3R8772vWt8aFY03ZiNG3XowBDuYvlFEickii2XxbQZmwtn
BlBGkE+usqzz78xYhjcdxrzwVo+dJIA24BnVtJ/KkGSHGsk4GkNugwDFgt3pfWcuekDkCADUIIDY
IWmhq6hJrgDjVZv2isun1y9d7FLrzImq+F6LJ4dZa594Hso+twIdWVsqWzi9qp4Tpsp7u2e/M3G4
rbg8FnWpDgJC4MrIHZT5fS2dY1/CyfPjyAW1GypqR6k3wUKreheVeJRb1lYhTNgDkfQINGXyMxkN
JgWzdwwkBfEbgObwULq+NZ2cuGr3sMai/maKBRbi2kFHCcnW9oZTJlOVa9vPB+HfUHT9HxZ38dH/
5w/7L+Ku43ud//GBN/jmXx54HmsYXEDDPKSnn0XTVz1l6kQv2gaDSJ39xudk8GvHQtH0qbaCnsLK
1JsFV19PvE09hY1L9xzn52f+79RT3vxE/1hO8aQL4i0kCwSSJ/iw/nY66RlloBvhBCez8TAlY2bF
PgvXe+VVttwSxvXCkG7YVKVDkouaYls7ZI3o0P97kRk/RSY+gXPoF121t6OmzNAPxIO+xlzbecTl
1vVwBcbisrSS6A5hL/5E+iQPh+REYjuJN89W6lC65SqAJ+xTpQUsukFc53NhZ9pTuGk/76hqhqfu
bV/L8MoarZc2T2DnY7QOI0ZMNMIWU6Go2Zj5GBmHLCPt+DaYWBYgv/JjdCjkz5DkG+iriGcZgWjr
rshSjrdaoqr1UPnGtk9cYz2M1bTVSTV+mPqwM8A5K3daW00HjlOZchrXaYdKmS2Ur6GhtUsNU0U5
uadONWGxKs3CvY1cl+xGZP2olnPVbI0yTNpb4DE4wl27TM+cAqG5rRhTrVVAFO402DJelLhlYzrd
sPD2OKgsff3vegz/w3eiDlflX3hWn7rXP1sl8M1fzyqrBC6QORdshjqzV/v1duZLPKJIkGhw5ieS
junrWZV8RUJm9n5+in98VsVsuCRghC+RuPI3b2c0nb9/WNlHeIZr2ySh8fAb83L9h1VC2rLuHItR
P7cxIm6ZO1s3sbSjCXQehZhRXjuQGXYdAUyI7AHmFwW80BZj0axcWQw54z+qT2K8md0ubJEgzx7c
bQ8gIhVjeaonDW8Bo/FWvJGehNkjQxjtdj5xjsNe+mITefgjyijYdg1TAFTZjF9pYoa83tlRmN9V
Aeq1oCzfXCRWRVfeo/MuicYkRMsNqrdUcXMXDaZEep8dBoIRh0gR5te6JbZGbNtXmuUefXeQ63Yg
XykbNFiCxkxNTqsr5bcvXhe8+RlifFo5HXliWe1FjrqrKrSblgTQK9nWBjuIUC4gF89UB6RufuTa
S6ZsYBF8xajXJntGWt+byL0OnepStCST8Yg+RqZ11xaSALHYfCdJbVz7U3DPGnAdVc2+c7WQ9DRj
51fyu45lEdJtyPkwXud6PCO5n7I8ONJc3Bkxsn9nwtxdm/pd6VF0TLwJLY6gZerjjzBb50V1dIyc
uY9i6Eh6gOy6qBys2LZ+xWTLIDciuo7kLKjPIFUflCK/QeXlh16XB93NL8UUHXtVBHsrbm46FxTC
6OABmOoMfyHL4piRPcNNDvKJILdK0zqE6HTwNbamtEl2oiAoNMobcZZmqbZpLihs3Hhv5JVk20s2
W9VjgZq84FrrEnyBkfMm2YteVsr8SAtHMaxxCzKlYlNepmENBDBH3u4nEKhbByJbnoLBCIhID7O6
XOqpOA9awRwdnMwiUAVRHLaFor44dLV5ico/Ryk51Ys2sjFAdQXpdQ4E3RH1Zm90z24ZPiRJ0i3r
jtG+GearaY5tbwL+uCnpYkzApwcvUguwI69Z4G87REgHO9euDVF+2CGc+ZC9Q4VoM+d0X+ptbe3Z
Xe9LNzuMrQMI2MIZkpxti7xy9GfuQi/ib/rg3zsZkaAMqcjZ0Lz7ugV10RjmhV+agMZF1y0YwSL2
0/WbTLUHHRBLlcQ3ESpFLMFP5G68OhJJmJEYEHWb/lLU2DBql6FmoecnR/DHdbhW2e6ANdJhP+CS
SFZ54F3olfGGQwujcKu+lZYJhM6AytjgNi5azAIzFz/BtLXsc/1ySIfXkL81mmfCAHMXgkVhlo9W
Xp4kVAlXwCUILeampv/W6sPGqxE6a+lQLYl4K5ZJ3AHaTyrWUaQ45Mr53g7OaahIQ89EfFH5yACj
MkuWZK+ALW+eRVwdsyy/N5LpwSD0gd+PIaXtLOQgT/WYp7j7ulUw9ciLjQS67Yipa9JvGmk9q1aW
54CmeBmN2njgDtb2RcbeLO+jiz6pboHNvodlciPc3MFOhOJvYVv4F32PnzKx+N9l2JjJeiHxy9JS
FjbmdaxjuxKW7cI6b6aFVngJAcl8iJXA+2sG+FeLhmntUKQrP0T0OgbjdWzq+sJ3dKYcxj/Yfv+G
uvc//MI1GO/9hQv3GOVB8yfVMd/9deOS7YRFwaEKNlwMufNI8Yfq2DKY96EVdOfkt18vXPcn1uXs
7bmkIdvS9f5aHM/DRm5nz0TR5CFf+lvDxs/QgN8Wxwid6K0lQhOXDKm5eP7hvjV8qyVo0GPkPmlW
fY9nP81wB6mM4znUOrbacWNGp0Yk1mOJN6Ha6kN6rWvWUmIIzjAyjm20bD3dx6Mk3Ibw3KKGJ+f1
IHg6p6GUbRr/MFgpG5QiLabkuoBKUEInANfyPA7E/lCPXCqX5Zc9owwmb8RWXoWv4MDdhTkDD9Bp
hQula8sRFgImAj70JnvqAU5CaPiPzMdYQRR6jCk0/SQqJGkBXGHGLPROjcl6FfJT3WXRkbJ7sjXl
7hRQoIhwGmg66bDWW1JE/bwvX8lAeA7QASxbN/OXRplvmhFtfJHFuyrWdlGEOnus81fdqmNmhL5F
WEB2HwXam3kqc3UqbJBClsefJ52QOKf+nVGJ6wwQvWQpG0/XRuveDz0LaxGsbey78udcgP8+kTNX
8i88kRcvyfufPJB889cDaZqoaXRqTENQ0urz6OqXBxI1jQQOArPDQlZj86VfS2BIa6bumR5f1D8f
1q92VfyE5gUpHww4HiEmS3+nXaXW/kMJzGEg+e8kJVKr/z69EDEcjVGVO+ekT4OjFmSVfzuOLOR3
rhkl28GmqFAeSKcKcT28nHRv17g25lShXeJjNMmUibp10JHWxanQN2On4gW7cMw3uGGFMws4YhQm
CQlZmoydkzcxBxpTfeNm3PwouTdyEu9O3KMaV6BHfN+esqUbBsd8HI5xnm400ROzZcbdTds3aMlG
9zkdWZg3cUgOF+7TVC92E26DwQxuKiPvVrqrplVjYo3Is3rXTsalbOQ7JJLryBLnqRJ7xNu3wCy2
WtE8aoEoj7lfHKuQuN3QjvbkqD2mbbAUWnibmc59ELHDRFFJsE9ilYzGgydG03tLlOtY958smb6Q
c4KWpq8ATrf9QMIuRTDZI0DisZnUNRWsV8hjZeE3SWrzmDTpZYVRFGducKoy+6UO23MLCazlD01J
WSynYhiACZeHzEs8Lt5250h0QqwbpWF6VJJsCROcpl5pGSvLU4fJ1x5FHV6rwSa8uI33XZAjFvCa
ieOA81DMQAPDhwxDU8M64ilhSMDQnTAWq542gUpJvS3DtyZjtapKw1nlhtpCzTtAhrW2mTAv89I2
V0Obgq+u64fSD+21VX90rtJ3buLKNWpAFJaU3YxuPrSxwcgp5blKqZUJdSL41avuRC2gqRCzAenu
OiWtVvZ1j06yWMZt6S2dIKeS0AP1rHKkGoH93WNVMQdPSQh305NNvQ7R5XnUp+sKPwEqwaehxORf
t+EHgcwANYYEAlUTX2ae2iXNKLHEG3B5u+F9FETVkSGG4LAMNrHZvakQdzRrsY3XJ2+KyU6BE3zm
nkVu89qjvL5gGYUAMuvGYNvisktXg6PsLf9+6CYIudDHOhE1dJ/VCj658P4fe+e1HDeSZuFX2RfA
BJDwl4vyjkUjkqJuEKREwSU8Eu7p94N6u6Xu0UxPR8zFbsTczChaoi1U5m/O+Q6ck5zTYI2CDu9M
TWWEoILf+FxgkU9CUjiLLtn6GlZ3qnuCvbhP4v3U69eZN8Pd5KXuLtM8oFVsbFj7i6NppuYKM3hg
1nzMnFTaNY3QQ7ijXm5MnragsWtCZDJj0jeWmYwHjER2QBJVcvS8cWbsZA+s7pMOZx7cEr3vt0Rj
ffb06ApsAR+EMC6mqgu2/v7d1LrolmR6UzsVkYbGMzu96aExtOylMFJs4TVAKxNpphE21cbreCCR
fmX4n8GuW3D2xoJkHJMNXeBhtNzlgkg/t0CqYAzkCQEJIfAXNrurTZdMQKjwsUApNLHkduENEkn7
1ihtZ8CtCXqzORSOMvEuekfET/bRiFA6lFVqLPb05pNgrBZADRo2Cg1SYC03ZhG7sAtokrbkE4G9
6WZiUQzxMc3zcOu3/NuhGbxdMZMnl2UE65Q5rWWrpTojK3QIhlhe3xAp3myFp9qPd3IYbhLeUQg5
1DFFGREP/NS6BkA2Kk/GRABKTuxA6eNpTueG/ZZPrkMMh8L0FK8QpGt4A1twS9M2L4Do2wmxYwvI
BPjLyYtUhK5B3yV29sJ4eqe09mHO0F5ICTuPtMBNQcHfqibaTiqPV+AidmFV7R3Vfo3MMF7bXB5r
Ru68YbEuCRL28g95m8qzH/e3SFNILbSgsuUlbMkI1CL7yGdqINK4q5MKvfexFAaGsPzYZQObLGPc
uY718O2G/E+psEyN/qVSoW3ffzbb/mFeRvXu+w4lOsnIvOcWM8dvxQKq3OU/exgEFl3u93kZpmVq
C2ZpUFmp72GOfS/fkd7qrsNnpGKgxmcA9xekt8YyB/z9cNtmiEfuCqWJpZMeuxQTP9TvvfJHjbp8
uE5Uw+4mRgNKo+6CF4imJIZ7EJ66OSNwdCIiLHsylEG+FSP5pDtUM7EsY+/M2bnF/DVv0lF0M1zS
qighaxamY38e8QGgf62acN50UcNZx15/PzpG5H/19dzoHqa2xa3bJa4VrsNpnv21rMrBaQIUBYyP
aycSMwDWbADYMZNXhh9GRaOxyUXUzBvLNXIESJAi2C5nBqrJDBpl00eW/SgNeKtbGIsHRvCcPEjJ
kO6iIt6P5qTSr4PpjYiG2dFvoihlvQTzVt/HUGiOWujJtyQsnLUfYUkMpmrqN5pEkdAvSl1UyrCq
cg33J6KIt34JhZrnHFefPjEBs+vI2tlT/NUZNCvIC+8rJQ8jw5wwJbfi78gEJz2zV6AK3HI4xREg
Em85XaMkZ1bTEZzEKpsmwUVeKAhUhQnGXClodE2nKcKBYUyJvvcai4IkhEFgeMvyfS6jY9Vo8taa
ZBzI0fB3XlW8Z+5s70xpkq8T99auLbtko7cwd7PIBZFmK3mb6Thtax+UVtWzPqvrYYOSmlLOM99j
yAl7uiAeC+YvQR5ZkN7KyA10R3urMujAzizVimvW28VN89UdiM6pBLWSm1MBrocGuqTshLsry7w9
+iwX10KL0wvfM1rE0imP2dCvEpUyTXVtzn53mO58P7R3g1/m5G6BnoVGB12nsbxgUGQsFXPDt+mZ
H2WRCc6/NAqaxmJKsegDS3Leg64C3aHwCu6A3dV3mHsxRkRDd+cmlCbzZNQY0yeMt8gC5HbW/XHT
9oT5ttZYbUbDVTBUQFSGY5HtDYmCjhVJvv/P+flNBrAI/P/x+Xku2//67yJ6l+8/m3zwob82WgZ7
QTos+hFBx6svAQm/np3orHzUV7blsoGHtvD97DStv0FiWDb0DBCoRn5UAohvK0OOVRs+HwDtv4TO
pgP83cmJj0LXl/6PTQNnuL78/Q8nZ+q51B2Fn96ofDMjcg/jnVU///CLuf1ljvIj8QEf6U++Ct4u
cBcoIqiG+B38+FXqkP7Mnu30pivTRK5LTy/QeTeTtwpNkW1Ss0U9TZF7diOP8TCs4pWcw1NPH3Kv
V/GdTIDn2nFyHnSdJsrQ7JXhIZUk25oEoAgOvcgPqo8vSe/vK2Wc9Xm4Qyl9qefyNDbmlW3nUU8z
bMv9IjvUa3/rLsdLqAC5JML/Yoy45J2M5Mq0Y4wupfqasImEouggZW5CNOsUxRNBjVBnJ1CPznHQ
ZqSWA1aLTmvJ6vVJ6gKszK2RdQWONWE9hayZdq60zU+C2XKg4ZXcJXoWkxep6kpuCFXNCKEzMB4z
HZ4ImYZsdiCZt8N3ZhLSObUTNQ9wNuhCXhzjn6hM72kWtQNyQshdo82OvTPKAZM2pHIu3Xql7Lyb
QiiEtnb1aqFd+PzVuk1A0C7O9VIrdh5l15p9DzuCZQXcuF6yN6WVHRWCJ++Wr9ean+wpctuTmMq+
5Bo170u3scfbmKUHuN/JP/mN4x6hG0QvaFas595FWerJCYNUVyjr4CFza4j0tYd573EjOyt9aP3H
svRAaLJP3UB2tNaiGmPkoSAfWSlNh17YPXmRyt10/M7PgMra15aOe5xA2Uwjqwu/Tg4amIENO3gm
ZMDA7+ee4lef5MYvDf8eEZiBCh9eojf5CAerHHFeZq37klCFOnn2crTRvHQ9Dplk3jRYSOjIKfBH
OSZHB0b4xqV32JHPZ6wKP7Ru2rgXBKfW7c4x+/1gFUAVRtHekeZpcMPkl6SQF8hp5CY1yZ1V2gcv
VoQpOXJfJsC1I1O/bf3hoTPc/hGrvfcVvgdDgmztDKPztUzU2s7bdRbWxgddU9vI6aBzl9nG1/Jt
5lG6j7QwrVN9advunaii9ymdnhjErRuzP/oErXOAYGecd9aoXyavX5t+t0dGdGaAvo6a/k23Fb28
tpWDwf2D2kVNnwvIi1H5OdSVsR4caXKLwxDO7P7FdpI3OTvWxmmz9kgbhwBlmM8iFwczEhenUmtW
WS8VL1/bmRT3nrsJe2cLG3qv9PllDNtNlGMLqfU6MIE2gmku9ENqG+namOgKXPeWn/HehrC8HpM5
omkn8trq9eQSWw64qVDcdbJo2Up0J2wkPMyQFGU9EgcVcjd6+XTyeRPppFAKUl5HcI9eZZ6R6T9r
c7fKbPdBieiuqKszQht04/45V/1d7DMyENVGILChWhoDMWXk2sUDkZUNq5Go0W8yLftUZsanKsuP
SZudSkkqvDLu5sFYS0h16JcvtpWuallPp9l1qcUoEsjY/lyTJqp8e+03tKcx64tpHo5eOU/EvRbF
EXLol3wKXVTqrEymCJi2PZrZrvarHRGy2v08afX2n5+8P3HWEiuDCxtPPoM0k////ckbTwZIeEeC
oaozsemlP8FyYOuUw/TEk2IOa7cHo1jGOVXT/G5UdXtX15n+wZs9nGfjeK+a9KyP4Trz3Wd97HZ1
7HxF/h6hTAdcAreemIGJZJCZZ1qGCbg+zFcEvEPwrNHSul63h3X2Bv9VrZK0fRK4fTcAFMCMIzVn
p7diM9WOB6PKGFMQTYkODPF/fytFuWtz98sk8wc4OkcFB3Bu5bFW4uxW5dlrhb/rhgm01ZTsxRjb
qxZMuxPCyIqtdIf5zl23entvTcpYVbFz1GOf9zXaEJg6BmyNZnwkYd3C8sIcSEziaiVzAagBrdWY
ZJe+mm9ixFbZYO9sgB/rhDViWGRE23rwFnOPXHjwvHZUnWUEctEtxDWRw0mqfM+9BlqnwgtTTuzn
0+aapfIeSSCziKKXa6fQSBavKPaa5jYx257kl8UK1KSP1mRhrx2TVx+uatLzMI08oB6TsCyrF+Qk
OhOk95bxkubTOjehtPvWfuAcMtvyS+kv60QWxJGvfQmJ3Q0qUQd05GOQydw4aNVylnXnxHU+Cl1u
dX2CSsoMZcqFsUrbKUNRHV3NGUFZAU8zsKrU20OtVFjIzOHE7L+5SCrZP8ETsMv5YyHiYN+EWg3E
lOyiP5QITCcGFNQ59EeVrM302LAE/edvBqRUP3wFPqVJfCEDZRQVy1pp0W79WISYDkZyz4+iG+mk
BEdfE5Xsk+q+GVKeBBaUTr31080//5o0oH/yVZef+4cCS1VZh+lN0y76RBCgEEyt+QO34ke6O7xX
LHJWnWc/I9k79ArSdT8CtpQFUdS6SMpV0cwfS809J52lr0AXbaU/GG9ebLnrXE8fHawaa1IsT660
XpwwG4+GRMnB01SUGzW7xcarNBSGFWAVt5imgxpd860sUow69HqbJEk+S57VTa078ZoTeFp3nsOi
WfkPypIzE7/skREWVrkIOtfUfWE6tOdS+tA2zdbB8RgIO92beqwxcaZCkUNR7KZZ6asaBCnyzUXT
mYz3yya/AL+Jmz1yAoB4Jx76r3U7iEUTcWgsbc98+MM4p8+Wnh3tDhJek1GsJaGJ2rvDBeMo+5DN
6YkR8bqYQrE2JTtdM8w4ZfXnHi8QuPv84rH/L5qBCNuZJ1jfZF1EEDm9dZmyXa7QQq4bGV4qyMCR
7e6N0plXXjQ+oDKjgKu0D6rDtGOanb6a3W6nVQlgAFW+Imy5NHq+eGPBEYxd0BpHVLQa7bO5d5ky
rivDeCymeD+GsGv7Rt1UDncktO0Dfd27V+tqFRJ8UtvWLqqsszv8WXTSNz7b90Xm3z/jSyH+w9M2
WJQYYuZpS8/FbXSjbetT/TTsSKvfO2ePq2f1WQwB08pL8Wn4k7yxb1Hbf//F2VOy4hVIGZc34A9f
HPWbV2SepV2qtR0UZ7Gqtgro7El7drf6Rn+8aqvzc79J2ae88j/yZjrrwTHZhjfYXf8sXuz3jc0v
vwlTp7wEa7EInf+gd5z0gWG3kcY3sX5bEeeW6M9N/0vry9I+ei9/0tj8/sz6+6/BgOvHHxgJjtLi
WMZcru9Rs/enu39+evz0Z3BZfrnLHI0R1+8/fz46M9P4mstbu60R/jQ2NecvJ9S/Yfy5fIr/m9lW
S7zTP+7Mf9PsXl6/vDevP1mD8uG/dedkVHHo2pYhbH/RH3zvzlHtQiWhP6crQ5Lt8Fe/rkHdv7n0
y0AFuE4QDvw42XT+5i7rT48PMJEE/rU1qOUsj9D39xRQAcAFLj5FU1Ct6GAFfv8IaLoxtaIzoiua
elpWUMNdi8RPQh82O/lcZVpQjZ2/nuETuwuouMgjrme11yEYWwvKePBtTr8BFoorTyNAlGD2U2iA
PRNQSMjLmRx0CxzZg5JMMBPSrsT3N1ZSfTZUlXIdEI+nIsRZ/YsDa9mAuWwv8OUkij85vlxrNAhP
XNf6vqBCi/IhXLmh3a/5tsutgudcJoCdI0O8QMcv1vUCfQY+y0xNc6wtERFf+6F9Rx4MbnWBRXs4
qld0Ug9lFt8B0yZvenjSJpzY/oKaLm26tgz6tL1gqBW416ACex60bvnmwaqOYVbnyE2CZuBHVAvQ
uq2MWw3CdSqjSwnxOl3Q17gNdLpicWun6a1emGOAj7wjUh1ktqSC2KHg7YO+HT7DbsY2ZagkyGKP
MVtso7DQ0w89HG7UFaCTdbgwrSndMyzDhxZqd54bd20xNNtUQsLXIHvHEL7jbjxVJRB8l9DmwIIC
HhlVShfGQgYlRBmUyoblm7TemjCM+ZHYiGLvl7YCg+em7EABjaPvTrdEyHxhBDwdoz7Gk17oLMYW
RLk5eNoGR/LZqaGXW3iNJxWGd9OCNo+hHG6niBvTlzmksgWBXiww9NLRduVCwUtcCtX604TMeddG
5jLxjmlAIxc4L3R1d8GsW7DPAa6H+I5r0H8uMHZq38+dH0N/X0DtOMbyjVzg7SMUdwnN3Yma6pJk
FazfCMQaVrctYdLjWocCn4RGt+kXMLwQ9T3NXbx22aOv0wUf7ykUOXoLUr4RCFAjNX9WjW4GVaso
wRcEfbrA6NWCpU9SAPXz5F3YtBIWMTrvTUUUUOMbN8XQFSuz41GmbxvXUZ8ATI+YPRma84Cb91O/
gPET+qSg9Vy579oRwGA0PGgLSD+ks3MXtP6QI+5BLMACdQHv1757Gy4o/tqS1l7L7Rc/FW90NDt3
wfaLsb1ouQbwXfMgCML2n2H8k8Q18eK7NWlbre/csTTvrKMxMzejCLfpSscGw4g5kHAQP48R73mR
eSUDEoW6zR23k9mZt+6Qv4BFIEPaQ0wath3KRHt6Gump6X7Yyo2JhidwkeCW3QSyuXwGtDDsBokM
KUFwGTboHvCUO6cGY3BQe6RAgUP+MJfhtXGqsxr9do0y82vS1Q/CjA+F8E69BwmoS08zjmNBcxxr
8UVPWeSXE4NrSzLyyRvrXi+dfm3webf1aJw8k8kODd8B3KXYMF97Gfxo3w7WiSXAV6dzt20GrLRE
41fiaD+W2vQqlkKuNohWqMdugH3ZO8dk7rYeMj4iW1K3656LqO7L7RhXIFXA3pcP5qDaJ9rVgemD
ANDs6G3f7M3Esz8hTbWPXVvJ6JY4scg7dLVmfQojR4SX1EZLkvtZt1Z++GwwfdjYo+DRCCO5CXle
9lYJPnpI2ZQOPHcbGy1zwFP4oiy1JzdWoEN19rED28RdwuKGJAKhUIZ33jxfx0J1K9BqM4iG/FaS
Nv+ogHFt8irheMqkYDmcfo0a965xUIpoA3lqeCv2AGjlyq3ce+Y4zAz6p9qGZ827eOeF+BV8BcZK
n299KzmpbEI3Wemvxsg5XuK5ShGVGYMhVx2kl30ttYRnLbxOmS5WUwdoVwPNFhRshLJDsTDNW7N4
dcs+3iDjbJAUA2PI0jeB9rpMx7cRMHpR40SaQaWHFsx0Zm6AK8Co6+O5YDaYozFGfVDMOzqqndZ7
12ghsPeg2B2Q7CDtaJpNeJbA2g2KssBY+O1yIbm7+UDKHL6reKG8NwvvvVjI7yRn5EEKuqBbqPAT
eHiz1w1k4uw2BOj4JLXZsDUu2tz6tlzo8ujMmSgju6hjcWMtBHo7InehaYDDAqcHBnNbAqvXwISv
St15Tr3+c7rw7IdRnoaFcE/fdQqB1Nqg78FoX6eFhS+A4lcLHV+l1TbxdfD8Hhkg8POB7Ec450sj
UMiJCqyhKwLy8KHJNe6bB9fPTBb21rvTgxIYFj6/6XWndCH2o5tx+IfjtgHmb3VQ/VWCxDkB9A8z
mfMZwU7Wk4uiJQ8yzF9rYgEEm5+sm849iQGZyUuteyywljABl1SB3IjeU9/f26QNlBp/G5I/0PWQ
yMkjyEW8+1ZP/Rtqxh9Lxv+HqVxLP/UvFZaQkX9SV/LRv9aV3+R1CF6ZaLD7QZ7zQ12JvE5ga3ds
uI+LFvZ7XUmkl9AR3WEa9f9XlPervM792wLltlgHMb6w2KT8lY05Wrk/1pVoalnp409dvgs+4e/r
So/FEjEe+nw18/iphpezkswlINjXDAvmfOvVzs7gabInjYmE/wTmFH2OgoOS+86H1CNbsOwOeZpu
QLaG7dp1iWTaJIxSH2Xp48EX+l2kFc2h40QkQ0am2ptAycEC2zD7+OSGfT7CSNaJE5Fuum8BjWxy
lao7HZUOAQLOw5AtjTmpSKS1svYszHUVY+2ox/LDNGlPOF0eTWqjQIc9s9IbCg1tItjROxowronZ
+dzMJljZYgiiVL+vUnHL+fAk+rZYxx1vsbBbRnwNkO6w+Do1mNRjkl5DC5WRaBiN2GK8YjJ5rSVV
g92bag347ks95PO605lX+6O3ifSOmI4yNrYZyAQc45o1HYax1FbomU6Gcq8Ar1bKiE+zclcY8Fz0
WDEDcdGfmr56jnX/RbNcXA3SvMtQ7+OoeMoSDOFNOj92zbDtlVHdGCGQp6r8KnSDuUJy76ulNCUD
tIryg5FPT1mrTlrZYxqhNtW1yV0J01RIshDraFrWBabM9nWrAYmOnRXRDWIdCsYRNj37VSAMYI1c
M3vqiFSNy2HV+U3KvIQNS44YYOMBHFoVIyARR3c/x1N0LEwkeF2Y6gG5Zys8JRxd5l6p5hpKiH4m
gyQICE1dIVhwVL7rbGDZAdEoB7NrVm1rQ5UBjWiW0HHiAtaNHr5lMHEzOZKtpagAi/E1ckpiubiU
Sthj0JaAeMeIqWJTe9Ub8PRND+bJyJgkI6KE7uhd2LH2G08nYUuo2CEs14RDXTQPccseR3Q5oigR
sUpyCb+dG7WP+3EGJi0t7iN37VG27xjMdlvJ83+j2Dq6mnXQ6vaJbexeV+Jp6DtjFcWtvu5aYTC4
EOkZpQh1HmiCTWzDUQ174sGKkUQYEO0hfl1Dv6lGU9yBTadQzfqdb1UMu6JjnrVhMNbilRmGjfxu
Sq6uKUg/A+8wefhDunZgY5LIlT0Ub1NbbkWffCwjDfYFoOiITNtVKid5tSwY4WP+yzH/D8cbfxg/
2DpiGnMxn2JZXVyqf+g9K3PsM6n5xlXmj5n1xbbXfzr1/cmX8Gm7USJzRoIo/sOEY6qiscXsbF2B
f6nsdqo+FP5/SDC/YAqWUfM/vqwur01Sle1Pxh/Lx/16TSHsMhc1N8ot7BkgV364pvS/we01f7m+
vgEMvk8/8EkYBEV64Bi/CRB+8yy7SL5IZkJKAGTWXWYmf0HXZS4CiD9OP7jyACFYGC+XJ+T3t1Ta
aJlw8X9dcx3J4yXGT/dpNHRgQnZTFNFtScl8nFXtfHJia2ACpxXofAleGl6a2W2f/NgqH3w/sedV
aqqB7JTC7Z5bUxk0EkwjNk6Mo8xKtKdRcPiM0WytpBDZSozOrQegQxEIq3rQxXJ6HaL5lchei3fa
vdN6OclX+k7IPOEApYE3Mmcz9qRGaM2RUTKwV+BJrBRJRYr06TWrG2bfCDwDNpNLwgyoqIkdGzGt
3pINMy75YF5gK/9gRU0T9AMI/dy5t3r7Pk8cY52ZrMLC8Wb2mmiNX/C1LuoHvFifYi/FJhZyVxRF
qkgYm8nVTPx8xeKedZhl36eOe+699iMEuG3mFPIMHP+k4oy+MRRElLUuAJwmQh88VN6qmrP7vq4e
a2uuLmbTl8FcULUDdhop0clrHqxF2SsRUXcm2/uxiOS5QOM0u7jQHMLyWkOv1kpv3ue2mdDRjnLj
tWov23Sn+1DwaLcq103paPwVSP8Rq5rYUsuifk75HeDRHlZR79n7pOBPVj8qHI3lUwGAkLr6zrMI
cKjkZyOLPzglOY5dl1pnoiEPKJDvkopJUW+78QoXQAiw0jlHixWllNZ97DgfrAYTH4P/L05ZnGZ0
DdXksVfWSTQsCpdsub5MyWocT8XiqdUHJOBlsZOJxrrYUkQSGj2q4OIpdVrWeM6QbGm9Nk5FSK/t
DCttoAqIdW9r1W5/o5apjju1HrQH69BlTv6E/mBc4wy8mwFZBLYZ3xTkAGDcJLcwndRjM6VvYT8w
sI8bsJ2WjoHPe4Yn8tENo5WgIJE5Gajj8m3o/b02gZ4J56vMiPBMxNYPb3lYyxurV2fpZ7fz5HxK
HAYJBYD9bTPiFrTod/GyT6fO4bEz7PRcipLLr+Eb17xnzWWk1tlDsjLSMVxpzRLAkN3YVX4lafNE
rstt3zLU6BZ5fORaW82sP1maRtKleMw7GQVO6R6r3rlOyWBy/1Oa+OyY+5riMWw/oCN/c7Tx0jjq
XYT5h7ZzDwYBd2mfGQed+L5VJwGl2SWvA3K1L9IYeIvNaPW8USInLpwrPzzJ2EP8sW7wcxh6fhWh
ccteZVv72ZumhSuvxH3qxqiOczO/XTDr9GiUnXlXPMeLiZZrUwSaXsiTJlUFDZGghxA3zMrN81fE
f9mmm+Sd0YYfIWJOKzSwiDnZs/refJZFd1EGCDVlvQxO/ko1SXQaX3TAnFglaxkSokUWVCv1nWVa
e7MC8kxKzUVR2weF5RXbKSvWllhAUAbuDDs++qozT4nRFHftYuk+jr2xKAgKkvyEOYNOqpF0pN6z
ygvJxDAn5ZvA+nZbS73bMbtiZVyUcAlGS9yOk3VkcWDcxLyxVrzmNkR5KhO7B/rA0GV8nusium8M
Q55SK7V3Hb+CzSA1uTdQvwcwuF0ziABC6EHvdPG+00xkoqzwiPesdGOrpWEW/Lt6yv+7ewjrX9tD
PHSvBXSnV/UTpeDyKX69jFk4LApqTuRvlJDf9YwGVkiHRGfPhk2+sNV+20V4MINYEKDqhSTJAoO/
+t4z4n0G8cbtCeftr97G3xKbf7+LQETCt8DufKEa6XzrP667NKI0smaU5VWB95wvqahQ9BmWvlA3
ulzeutD8ulUubc6K+hbkH0GBBCM3IiejSJZBbuTnWjQvHE9H2Rb3SZ4gnSNLyEzDi2fbF8YwOJLd
YReZRG0yuT/H+vAMKezdT9AvlCTwDAvXl9BdcEQ5WMgY8qIiBQeCiKLHAYHVKXKIHY/Ns9kXxpvg
uR1ZUMjtwI3C+YKSOjkSytJhMTI0Anj1HmZ7kJPf6cCx1VlFOn11cBM3B9zhHx0JX/mDSQgT3sh8
SBVvxSi2zk2atC/pEBZrRSMm6NP6lMtBpScXzSD6Rd9uhw2SOW2NtaNJ91DZYB3WTaTX8IIchCBy
GN+Uk0NyJL7IrWy16uJh5zEw2jEgfK3CMly7Q4132ZPD1lQlJDG9XokWUmQVJ5t6RnsTA+ssw/5R
6OGT1syHztXue6Jein44WEQe9lp3Hgf76kMQCrzKWTVS3E9t8gqiEqWKq+EwVxflFphstAqlHqUM
U/P7XmkHxxCbIgScEFVfhUl5oA17I+mOnHn7KKzPMOBvcjHeqLJ506f2HtvsXqTOYwbPMma1HrK3
cmL8c7WsHmRF5HzB4YihZLDb+6bz1uY4EGZsPecuLnzfe/W99ijTAY5pbopN6n8tjHJjSeeG8e5m
QJpNihRmq/YSJu0tt9gLIX1rl2SWCiBl4cY3c5lfvYkMQRtGZ2vt21E8z0N5IVgyAG4LTMFaVemw
9eP4Jg3Lm9b0T7Np02l1x9Qm68/RP6Fn2OIMuFRm9xaVXrpZXvrI9akcDNYExg7C8tno2y5Qvn6j
SLed6vSmccRdPdE5z9qjHZsHmS6vsOJEzvJDa0D2Z/Pvh/W7b7XY+OWzm8aPEN7uu1jbhpV9Ni2P
pjW/0dNeoqgyzoM1voGD6gjVpPorjHPY4ztzDcDV3TlyOYWT8TSM8aFsIWF7U/PeuOK+98f7ZkKj
FEa9fefaDQnEQ3zjhNZlskV+bdhcHfJMErNMP2qS58MeKbDH+qo79nkweKQUEnrZtxpKqKFaV63/
ZYrGG30k6yo3z6Qy3Y01VJ2Rm66X0l2bdf2pQ5FIrpvDpijcjXU/URWEn+ZGXgZ/jLdQ/D5kgGJN
zYRnbZGjJsALUjOzPzBzQKRa3IxL3in54LFxYc58b7GkWLFMQqc18opjs7tNK23Xsk+riDLcA/LQ
VlpLGcmi4dKlaoeKf2Xjk0NnqjY8HbxaQnTkFLe3uN2mVWEhZwU9AZ64PS11uxVmZ7NeLF2MV5z6
phLoncAhfq7gEGzRUayXFJt1GuJSTDrnzpbeoexSE6AQJXdBqEQQzmNHYpFiqCz8lYgpR4jiOhPr
oJjXali0y48d+6MAN2pPONx8A6/iQjLqF8eskSF5Yh9WBXY64uEDWOn3hA8/db5z1Oxo72lKbuF0
QdVIhovtE2/XW5wAuUbojV/hJxV1SIosJe+WOKdzWQNedMzkilDssXeISIvj8UPk2DzvkM8LDSmk
lzGh4VcT14AjsW8/+j1Wdz8BpAKpdTjPJdDM2EaF+e+63/+fz4wFK/t/3IZ/FyO8F1/Kz0nxEyrr
8hl+qwEEwn8CeD3BzAYpHH/1q1tAQAek34YwRiCLhfb/txrgWwak0JnkMicCk7CYqX+tAUC5IoHR
/zc18i9047az3O/f738kNLptChc9AjAGn1ynPwjoXIzHHoYl7WpoEoY97ZFuze/hgO47s6UTKFPf
ovHdNhOMcBKTq+beb3LtTri9Bv3bLQv3PmKnyTmINXGtWqN5ZoXpTp9tjQYJonseiMXjCLgO36Pw
5l3UDvyJufgO+jvkm8UfCWph3PSV5m8bzJNFlemfoxo/JQSTalsuHsuB4zzoF99lV/JvzcWLqTLR
fKq++TMXp+ZMHNJxKNxjmjag4rFX2THD6RaDpxLqjYhJSt/F+8nkETPTMlXEFjot/tDctTd0AvBd
Fu9ovpC1/cVP2kwcE7xZyWnMUIcR7BSYcJA2Hh15IBZP6ozcVnRje5sSyswGqJMvdLnTg2E8J1ab
YPXMbpI6iteM7u/SuSsCXPCXSV+oN/RAvM8/twn5xB6zeKuT0OAX/6y7OGk7Ul2OxTd37eKzZamq
b9pv5tuGyQCdE47cvkI/z8uiXYlr5MzHuJt2pbmCxHOsF09v1pcEMNCf7bg7s7sR62+5eID9xQ1M
bcQHZfOcbOn1cKWvzAK2SrpYiJvFTDx/8xWPo+Wt2aPjNgabBKgfLEX4YPNld32aVvqGB7s4FE3f
07XgAw4dzbskFljdoIMZnYGOhiBtLChpQ8UvMrbJIIYyHTVoXgfyZzasSV4yo4s2IUxq5gn5Cob3
WYYxEZXpdJULwDqGZB3P9hqxYXedMF+vwMi4K6vxMq5TMii03jk0PVBsseCx+3R6iBdgtoCebS0I
bb9hCTzaChzNtMDsElUNfAOdUADSm34Q1qW3K+04mS4FCb60W/tbimnD8lpvQTSZ1GkgaatUdmf4
FihReNCumLOcbVPbBFZYdGtaWSK9QAKJXFrtQB5/WsbQsL8MMs3G9jiMCxC/j4ytbYXeDVyDrZb7
X4TWnp00vyuVegw189JWLmpZoVU3k5ZMB7FQ6cDw7zWbcX7O6P2Dnobh5n/YO5PluJEt2/7Ks5rj
GjpHM6hJIPqGEeybCYwpUegBR998fS0wb2ZRTD3pZlkN3jO7wxRThIBAuPs5Z++1HeetUYZDlCIr
Nu3jGBbuilPIphzGlcWAmXvm8JQfRZa9TJ1yEFp0zELGk1Er/FPuoDjILGms2zC4DcchIHw13VXk
eyQlHxInx73sI/Y0skAWyBZeg7bnG2hF56ErCLPMqbqVpssI5CFg3Up3LjQmp6peswpDHJp7TMff
LDtiacnWtO/WEkiR2tH1DnTmN2zEoYx3Nhhmtx+8XpuTCxrUpUxw751UPVMC3EPkdHhJ3cJCMMUu
6jvTN1lqN2Jqd/M50ciyldUMBsDj4SCUxMMP+hpaxsaqulUdBCQqCudSJ/mNU+hf3YTvcJYab407
3pgKAddZKU9jOcHi5RzJZ4wsGpQAWnL0315HqjwS+OwLlry7fn4ftSTeVW14mQoSHmDlw1TYkVSx
tbMCThGXT4V6neUDAc+jp+MUyP12qTh0GiZlQ1doayPFzSSxqvWwVsSssNejL5YDJ42zOkEaXhLa
q1EW51yqzipXiw0EbI4gbXDRiWiIumA7qM4yK5QjaqX1mEZMk/XFmAxeyVcEs6/nV9qSsaPnN+lb
lb4VfntDWDdvpLodUVFFff4kSoT00KkoC0nSrjzTJ8eawLq6scD9C0btw405uHdpPOlLN8VsTkz5
JjMrz/Vd3kCf0ARbXTtu9m1EzcgKt0bO5dWhs7QcMAhBHe6YJ21JjHtStYZeinNrWfLJCeuboBuv
2+xrPsq3UiWwEEPowjaidWTJde2PyyQwVyEpkIERXhvkVxWdcUNX6ZumNAu9UjkM0tJT1a3idlun
VtZqmN7G5Fs3Qrunh7mwyXhcWEKufAWis9qu+Spe1a6z1ox6b/gjFyxXgeSBDXm9LEo/hxWuf+nb
4olfhX4N+M1YA7/jm0RAVtgDb+tf67xmKKYcSM7agd3H6GWHi65KCEJkkwilX4KtHRluWfZGb7rH
rM1fGhAdo7R3SA/xuILKKJpqmztix8mbHqxwcUZ0T32lPhYVETeKhhxjoK3U8uzcVZA3RDAI3k4b
3E93DVfzIHEzdArQv8jeOoN/hgq7y81s3/naKSyoR/KWpM10vBCshbKhX8jeuY4r92how7O0cKlU
zAh117n3K+u6JkMkr8UNwAl1AQP8tmUi1En0RNVEg1akx1QEEKlLlYI2OFXzQjUVT2PSHPRKbKSc
g296GvG9V/fzoSdHb5HfV1BwNb04KDrZ6orPHBDPdnpb42H1Jr3ZVyjWpr5nNpmw8cRfkS3dx02G
JAJLxsK1m2cTw5cOcSguAI9E2lcrY/7WlE9JFe7gNZ5Zb/EKVwkD7fogplnOnYIMm1TtORS1XLtG
cpdVDWj2IdkkhnaJE6q+xGV2WfTGGtvk1ieeqdcVQHpTQUw6MpmgDzxt1JdJigMkzC+orzaxPxBN
NH6VCu428u0bwIQzlolvADyyuLNXbRusqlDJPTRi1Act3RI2CZgx205xvnadWAM3J7XGXkfqsGKu
yPpTI9cJhmk9ZPlhbIJD1Yg7RJC4Ehvp5TWN2CihfuqVfa7TGCAzQqOtUWnFLlWa08QspK7kFywr
mHVqFxrTcOpMhqqZyvb34Wx7+f0s+NHp+ddxnkD9rVsUNLP++7PouumrqmqjXDmrGYq8ZFEkNwrK
lp9fZHaCfD6GIjFnbGpA1zD0T2NJxKRUqqamnAfntwpVW/s8FOAmlhnW859f6UcH3o9Xmv8lHwTt
hV+M2uRzJZ0YcpO+qE18+LQrrIe4fYkK6/cS6W/MW3l6fJtmariGb+vTjemI9Bw/LYJLp7w07aEM
vuTpl79/R5yWOSxzGQh5ny7hW6BZ3FGGF2iLJIa147hKQ7pfwSZC/6A3vwid/cH7YGouRQsTZMZ3
1qeKYRZ26qPaRBcAcovIwMsO/Tf5xT19UuHPZcl3F/nksKl9pRGWz0VixmZNdYTzvfz5U/vVbcw/
//AedM3ErAM4zgUhKy0RLynufESxP78Io9bPr/V3t/Hpo5HJmMguq6PLoBgLvGxudAG0zAL3LJji
Ed/U1r+44o9uC0E1vB/ajQIH+ve3lUROFuXkv13s8rpUA2LCdrb/7ed39aNrgACxCO3jPSAe7ftr
+MJQLKer4kteh/RY4O0UHpFLP7/Ijx4dQaXIIkiVsHX300WKPrTtKCJQvJLPuUXTmNqDxcD1b2Fd
mihce//651ec36lPaxBL3H9f8dOHhWsLl6c2IhxHrgLHDljaLxaDGez24RIzFkVoNuAUnck3oOLP
hri6MOFzDFp2iY+oqHZsnieAWCtxHd4ID1LtmuCv9c/v6vtLvhf4393Vp/UOS0A2gJyIL52FrYsh
ow6tWi+2P7/Kj58dMwmVnVNY4tOnZU2aZTd41y7wdT0djbDT/OLZzU//86eDoYO3zUVdgmTm+5dO
wmrENqHEF5vSd3R0TpsvkUnuURz/4l5+9MQ+XunTAkdFXFTMLuOLJt5C51r4t+X0i+Xtx5dgrgNd
mm+S/elVi7Skc8wpSC55fhb4qYZIX+it9Yut7kdfIV62P6/y6aNPqi5sxoCrRMmXVMG+qqwqcy3g
8CbNRUk2qfjFZ/SX2wLVA0nbVFGLME8yP0k7CDqxZWYX6aXpNmX10luMM27+5ov26RL00j4u23kX
8EDDMr30E5BhBa57LH7x2P7yLr9fYjYBAT506bN9f4l4GOjFUmld6vSLMu1QA/ziAn95lbkAMhtU
WILGG2627y/A0mn3Wj5lF855WYuTJ95FABgIjnx/Vv+W9Or6h5dm+dq8/p83dupmvHrN3v7zP05v
1Ze3r7Rf3/9s9/U//+Of2ir+1p8tWfUfqqC7yuSV0SdD2A8tWe0fzEMJxKIfyqr1oSVrQH3hJIw3
zCXLxX0XAP/RksUihrDORtdkIJYAtfl3RFLMeHkF/nu1e7eI2RYnRghcnBnNz4duQ9HphZRJctZU
s6n2bhNJlUTPzFSwfST2PNpAtuO1ZVwSEkWqJqwUrIvbYbdT/XiTz96guQXVOA90deRCRt0dc+Xq
oDLrDZ/82S5gNcAPRw6uXvbuJUgw0wCb2kpd4JzGcVAk43lQ0o7ziv7q8yJ7wJYOEpdCbg04gPEt
DPgX5GxkaJ3hAU/XV0vaN9Io+AXGJLfBIBiiOsXWrN1r4uO/daSsrLI4o4ekYZqQfZPc+/goiKRi
0KqOcB4G7ezgtegzwqSs2X4RzEaMoXK2nSVhKyX91ofXbs6mjb4YW8In0QoXRdmtOEzEW2lkUEMq
20Ft4uPLKMOnNimbZS4kCXrzfGea5Q6E9zFmftdA9LMcAjUpJXD5rpLQZ8HEMEsnwlCVq2SWU9Sz
sAJ4aXBjz2ILa5ZdFLMAA4quOEezKIPITu1qRKdRzoINEmzI7Z5FHFaJ5biahR3hu8aD4QzgPHQf
/iwAyWcpCGRIHPyzPAQJLUqReBaNEOhrHBxZUfll7lgH/BvyMtqbtmJpOzehs7zWyRvtRjvRftNK
w1y2DMrtMo5PYdcyQycCvUGQG4JSJJVwWqsiuzZBCvYkNxYwRqvkDVvhY8lQvlDxm2WM6VPsJB7x
JafKVU71PMkPGekLmd4MYb6XjPp1JTnGPeiZEhGAMasBmlkWgDwATPdVng0YZMLGTjDhjZG+MozO
AI8pwng6gZQjQpNQt0QCIjbMzqerHe7azGei79N1GCzdWWVT8GUaWHZ9lUhc6dIhLWYhk3DzkHav
+ELnuZpVVIkH161eGuGwarVmaWfjPZGLwxIWsqBP1sXeONK6B/J61Vh9tnRUgSMnyIivhVE8RPyf
8DcXIa0WmwLKS9TZhincxGOm3G3GMOqW6qBe2YJUlKTCvjZK6Cmq2hysaOg8urD6KkprZaFm+os1
aMwOx+K2nznP7khMuZ/X9qIEyeZiWlowAXKxNNpvmR98TQt0gny7PKasjEM52LQCWfvY0QxX0ZW3
9ZitCo2uLw0Ld+3w6quaGSxzFYj90hcNRzmFhjBmqtgukn1eN8Xd/9b+8f+wfIfd/F+Y3N1GbzSh
/7pHmPz1j3sEfBWOAM6MufpubEfWiHCQ2L7DrxDi/Dm2M6Ag2hbjNCwds8h1hqL/sUegy8UcAg5D
cHyldP5bNGVmh5/3CMS4sxsFJS0zRBwm3x8jJmJBQ72I1DOwsVnHMpFYo70UwVditlCuMdKw8mPk
sBJEvasfe8mfV7p9trT83JaSkVNwgwnxpa4nD0PAsKmT8Cmnq0d42I2ROyfJ8sT7+gxwmh44BsjJ
Tg6NsGuau3gb9aC9l0N+F6s5TQCX/L6y5FvIVOgZFs+SqeZBjORoaSTNhgBZ4+lJNxUm3UOzD0W+
cofY9pIp2tYtYQZxPj1pgb3tw4TuOwfUwQ6BoeT3k1Mc3bh8YrSaMZPUvyl9/lhW7UOiMdwzW7Fm
pVpP9nSJXGgz3NlGugzvSWFeIvmwgEnMXXq/3zXvuKzRmbNSN3aprKu6w5eWOQ9lT1KCbEZ7R4Ne
o7Q0D7FKtF/cK1vOf+ZCg2a0bZVxU5jDTkem2UvrppftDaa26j4V42sqZeJZpbMPQvVRzSCtqnjN
pDqcgkQy5QpsZSXifNuQ8egNLTWsWe8slwWu9MV+1L7Wef4S+O396AiWAZNFY3L6l0StSUMpDWLS
zTfDlh1GAu2eHZECWDVRH5jYdhlyLMa+A540jCQBjxsH7qwkjaGteWZBkJrLfgxi0JVJTNfjCtCF
Fq58Oy7wcIBEOzBShfVrSrXZFQ5LYzNjNjUM4THhLGplr/QIk/Cqro3GfcXlh8KnwS++tBL62IvB
6EdzVkVUyzFFxxuEJeAy0z1lbVkCdDK+5CGAKsWH54x9ImQgjFfF6NVlP9VfLL81PTcpv83uJRjU
8XLM2VZtDeddIJIbe0LVSrTOlRJi4mx0ye9ghlEo4VM6mM+5M9BHHrpb2Sah50L2WJql+BrL+ps+
Dm9TUyGwsNOHgHYGABCD4OiBaVKtHypcIau4b4yVKboLYvFgSZ761gyrZycRzdrAjbwSvvM8NkRB
SxPCjGX3X2sH2kaOzos3B5M+KkHHUxEGndJAuQqeU9KEA7w0Q/zVHOqlyHhfcjQsyXSwoKjEhbxm
PwxX0DzvJYZ8hLXBJiW62DaZpQXYGH3JpF3wJ47WPwZTeY3K1BtN5oN9/UyIaM0mg85Lse1ppuqE
A2HEyVKZTfMW2TGKEuJsrwakxD2fOBOMm3aOmklCDEtkz0wwraEmE6/NLCc1O/KmyzGpfq9w/117
6LQD/oUN5gSViUf2lxqEv/3H/vIO4HXoDc/nexQg/OhPWQjSUGHDltRhhMzqjz/3FwC8tD9AKQm4
XzP96M/thZ/g04A2ZRB54ejq33MTmnMh/V0FYs7Vh+Vq5LLCynjHP37oj5ZFiYs1jMNL2TI+3Zbv
mFthnzX4qZyZgncGLgEU8zvWSjClcBdmUu7I4lKtnXeCbv9O0yWrdgsz1vBfkc3F6qrv85TcK2gR
/l5jQk9sHHSb4GImeYRwsjRDVjmt1QcaI5OY0shLSZ4GyAaYwIBZMVp44jkau0yFq7G1J1BPURlu
7b6loE5joSyMwa7EtgwqNwbKX1NIlH1aEVozw+FbY+ztVcD6jPffsWAWoC99E9ivNv9b56f/z+VR
JuXqv/AduC3S1x9po+a//seXgGg2XmONQpue9adDlv4PFnLaMPSZ/wlk+cOt5Pxj/l/FbLml6Kbb
9Oe3wEA6bcDE5OBm6rQJOTX9DX2U5nzfQ6MQZzI7p9XwFaCRZqtzof7ha2A6WVyZrT6eHSDRFzse
s5tIk/YTzhN9P/YJjDUN4oHTdOqpH6W/6IgexC3eEWjl9s1tqBbpZpq06MBe769spQGwztu6YqR6
laahe+oMzT8KUqauDbgpiw4mA4Xc1DjsnHLYKo67H/QJFkkT4hYgi/ELimE2krz3l7AmcO3IenjJ
wjDYFyXnLBN+3VLP1Zl84UhvrMYHVy+9MDVeRz+z962lOesGl9UhTxCLVHBGSZ9xfW9Ab5GgSF60
ESWga+G6CslZNiz0loWLxXNBDk2jI8iJ3+So9eZ1k2fLcpqCb3Ysn8Mh8FeE03tgQfZxMbneEOfJ
Tp9cBLQcZS+BFjypybiPWqNamzIn8K5UV5HaKJvGCqb9FLTGnoLbXqXIFcnjrncA0twlBDJzk6S5
uep03d9aGoe2SATJvsxkT6R1dz1V9ApkyjyWpJBpoQixYtxbcEJ1r2JDzCUyT0cB7HQT9TiRs0jT
zjViNNJ8eonkpd63evzCuZe8rBSJlu5Y8UoL5D6EiNJ4fscHpvRatUyVRF37lraNTdjbCsFpg0D0
1CSM+adWvnZFEJ+GxnxTEuLVGMCgkBeINVjyCOkKbi3Dvs5s4hSSYdjoXfqgcwBxjyYNHs7m6bkr
tUuhOw9qUNteakQ7qagbilxQoKVY+UCt2eMhmaWdGZxw3CJRyLNDbWhvQsyp11Z/24WQZWug3JSz
+NGyTD3bgbvNs2LTGeIYD+5JouQIWWFXUxpg//Ut4vni9RRE52wit8FCq+OaYHMnMZ4EnFmIRPcU
POlyGswD5zV+0vovmV79ZvRaCdfG+QIufEOu3D1eHYBrvjQXhawBG+X6mF2ViSC1SIdh94Ws98oD
almFa78Yji7ME74VWZQcNYtD/aId02JPyW8sba0ajgHBMLt/r8rvbGudU8K/sCqfih+tyfNf/mNN
hm7NCJ5+ntARCb2fPv44mHBmsfCqqMgvLEtltvDnwYSF14ZmhmEFupYN7oBpwx+Fr/0PijM4jFhg
6JwSUPR31mQCiz4fTRxcqha2b3wwhHPa888/rMn1xIimFa11FRj5dCQ/XpWok5ywNJfKQDT6tJj8
VsckT1JrunQa3y4QXGYIyNsofheYqenJaSMVHTotK8sOvJoC2EQu1NIeWwW8tcg0p16ktBhRoQeP
fQv3ZzmpgQn2KoEXLXc11gGSOzthDddtbMNCCZUiWKPOV7x2yB+x4kMDBXTUzB7Quu6aRdnB8EQC
nzEzV+q136p3cU5ed26Bjc6gC4/qDYZxOD7awBfIl5ClskNe+ketHx5GmIqwqvE/SpltWrnDM8iy
E9AZiqw48hK7wZ0w2HSEHJQkLfmXC6zwGDHci6bSBkhZd5S2ppbh/I83w5bLPnP2FeoWfW6bRW33
1KByXJB7csgiVaAxGy91kY/r3upAkrYusMOubDzDnoZl0qAmgoA5rUaBKAab0Qom8biErAuhzOm+
KuZwAFUDKwG9qpf52tdhkIXXinoNrXsbCfRimZYeY0eXXkTGD+BuMojL/li3DKm6iF4Y0vVbBb9k
abf62k+IFVXgpfmVL3fMUoPFYBZXsV7cEAzgMX06RPAlQjaeRYebUbPL1dimv5kjG0UVdsvGQAGc
JmSpmSAwZLA3/WxVSQd0iw9YAh1vjAm2SNbOaAPtMppTpuCwTNIKXi78aC0IHlscuagFXHAxoxFR
dwW0KkDHsoZ7WtnsZ9MQKJ/qMSgQn06JOJCxftsEw8oa6KXHA7nEeXwT5N0xEsYysaOWNX2KQBON
KWWm4m+rxA89dXAv9CttTgrGW5FqNZs/q6jIiyuh5c0mNPB/Gsk949iHLC5Zb8uzEkp2BDehL5Jy
9HXSGFhZ9tDb7HSQ0VvVeFYl/hWbhnbXp7dDInZgl8aFNSsbQweJwljHQLdUPTzAAibryZ1Inuj7
x5xyZRnrzePg9w+aWd+ZNa1lki42eeie41rgmEBYKxroQujpAKX1XmsnclkmpJg7wHuMpr31Y2gf
Ray1qOeCXVCbwbZsKFCt6Rld5kspMCAPEaFebhyV5DCZmmeq7X0XUfFrCYDzwgr3ilLsVdt9zbFN
L9Sg1D290G5RQ6yjyryTtbpRjOLS469gsGrcmjD4lk6oQqYYqNBD8xTZUvEItV4PUYpK2843uTa+
ZsE0bImp2rZdZYLVdFwvV7B0Mk8o1k2TP8c5PmhsVgCOh8k5uOoI001D2qVO1TGyknXWA1bydcgT
RABYC0vp12k9njXNRIVJFldR4Uex7XsUh+EeHElKw254SyL3JjYJ75izP5Gx0Z6op/Fb3+Fp7jqQ
0n6gmx5zd2zc9czMtuHI+ml7CxqWV4cDMmFMCqA5GY0oQAvhmQXZtsHwaoVNvmpoO6wGy8WoWp5w
x70laGUBb5D7Uc2cLsHxFSTltwqAV1BE23EqnvN3sldY7uyZ9SWBfqkz/csZFBCALQb2QTd3AbEh
C4x8M/kkPmngw0YwYiM4MWIJkBz6hyyNd2FT3vph+a2Z+WPQ844jQDJLkXdyJpQZI/MRdaaWuayL
rI3MAMjyWNkz2ywGcpbPtDO7h3uWwtUQMwmtn5loUdc/uDMlrS1IHulmchqRV8/DzFIbgKolM12N
HI4CpIsO8G4MH/X+ra8gsREXF63y0TyEVvY8jDxRzUVP2Tc6xPPi4T0qyaihypjM/wOOXmNiI1c0
EG3WxRdXN7FAqd86jZcB3/KdrPjAgLQaS5E25IUHebkuM/vSwVQkMIkM4KBXCB/ortAm33CrWBnC
80Q0FQLwmVfbKUQMwxmkqDGWoaPu2oIWKNObYWf24laX/lNoA7mu0ugtw7u08E2aTxoD8G2ddPdG
DpAaDdiEaLrqEL7++7j0+3GJ1sm/dlxq3qDv/6CXwy/448iEzReHD2IOxCnziYnT1B9HJipcIj0Q
E1iW9c/EpD/KWIuEcehfc5n6sZNjiH9Qc5I7jqhPn92/4u+cl0hx/HxeosA26OQ4zKbnuviTDiST
qYno0bGuMmPq1lL1zWWh2s82jd7Cbh/1BnfndO2T4gmRbKWT6tk2wb0/x3xihTBo5SbLkgRQ7Pyk
gRp9cp/N8aDaHBQ6khhqNVhzYN/sJFmiapCzYrQFrqGKZMA5cBTC0YsyR5BqDWGkxhxLynrnA92M
YesRbecH1T7v0SzGRviYIeTOR/d5QuydSqfy+qh8HePk2g2N18rSnoZu1D2rGU7A0ApvDBP8mGV8
aFscNILM4MdRdV4icG+HXGr+SuuJCFRlfJ+06Ys62tOO0mbnkx3EBGTaTqX+0tXZlZuTQ2jZtxh1
E3KXSrdgxBj3920YPTuRsu3V4rGulGBv04F2a/rdeXelxUDy0/FqGKOrmSNRjnOKdhR+LSAFcIyE
w2j1V+6MTCgifWeS4sxIJRxxCui3M3oaQ0STPBOJzSoo4w2jmHky3i1TExl7Q5VE1agj1Tb9RSHq
mhG4m3t+byBLVo5WVvTborE7CNSzlTa+kbV1hDo4rU26wR5Gzm1ZpF8rhMTLRq+ZdFbqprKm0BNd
exkdd6vG7FOq3+WbMMcSEeEaIkyczx4lP4ZsJv+4gKcxgrmPBs+ZlgUS6MHy3RnkeUSsfU6le5VJ
c2nFBCSBjTz2wdyEsJe2mKj/TAwWqcq0KJ9hDATGD57VdwTAJSa9OruuPZICM1LmmJ6MkYsbJwOC
2NivGHF28EybNTMMzwd/NdvIrnvbIiFdQzxZGiQoxqVnlvFNrnF4DvnkFGncC3iCZZZWK2RXzrFU
tF3qFCcZDy/QyR7Cuv5Nlg4Ipn70l5NlsW/GLYPiihMK05FdNzbFsiPCpY1oc04INLwozK792jS8
pBu2JIMV64rKg6gmq18kxc7QoxiCJT4XUFSFlGeT4jaBIyO0FKcHBytA7fgzUuM2nvIX8m0Ojdaf
iokSBT/YHtjnUSXcVM9I70hVuXM657e4DnZuGGwsk2Buy6nv+jpixKHcI1HeqfkcvG6+FZa1S8hV
BHnxktfpvZWUPNSpP5pGdZi95W2XNAt8Dtdp1m0GPzqarQXUsd9Kt9hpsxhsNGmThvvAxOZSjcZB
knXQ1+pFDc103U4Vh4/mqbc5vNTmxPmqOcs2zWh22PvK1W9EJA9J1G3NZGy5w6zdxR2RC2p1CqSN
gaXD3DYC+Qj027qoH9kbD/4Qn9rQXIbBeJOrKZgWvvRJGq4ZtD0Gib0RQbHNrMjZgS/dWF0/ZxA2
JyN3I4/CEwFDsKPcvM6UDhKMSmerrXaEZz6pA+x1R03Tpau3N30oji1xawvyPMIFaqsnWsZbu2XT
HpulPkxUaU5+MlLrZXLcTa8gY3A5r0Xdcw5ErBbqt6kOmJ0iYZgghkRUw9R4k5JnNzpaJC91+lRf
O4Vg7RsMY4+tmeQZKz24QUtDJ9kR6dwsFM09hGF4Nrv04Adjv8DQcGK+iOvAzX/rogaAe5VeKaq7
KQv3qiKFA+TIsM5KVVtFQnuItPY4EMVjJArIuPh2mj9CCE+/SVIxizpYGXp/0ALlcVC7M43WKzUB
vWnZcHLH/lVXqIciGTBSLTmKM+HERCDWeRsQdO9kL5KB2OhSBzdRtU2KeIN5u1/WlvZAv3Zf1t0i
DJEF1cp1B6/I0807O2gJGJh+i1P7dkKFcMxFKXdq4N/ILD8pM/zPL9OVOYkXTVobW/cXpgH5Jm4I
n+mrQd8m1La6HrwlHBXp6RfqYbTHI2wqfa1pUqzVyGA6KxhWpqGE2sQh3wrUbZ21T3Uf3ZbU/GMb
3PlVvc0Vatyhdx7yPtpwz3fkyj42ZdjtBvOSJNhHVMLjYygJTTZshFmc+ya4i9SpXjpWt1XIQmgm
Z1fV1vWUatsqcHk02lkpq3wRYlLqWv2WxG1asShvlk41q200wlIN61Sn7PcrtB96umr7MnoQWdSw
+Fv2Qc8Zvmfk1q/D0iKzDsMkY3i+nTQrcMYurIpbQpmy5eS4sYPcvcAPcjD1dflqUiJiS7oSOkEH
yKdrs986sLWmlcdrdhh8k7C6llKftSNMFQnq9UNosEPasMV0brePUyaypTJ+y6sa/ytA5WQkgcKI
K22BaMVZiTR9pE2pU7pbFeYmwDVaWMOMyGKLEIQsABjQyHPOLP8p1mxQTGKqFARevbiue2JygWcg
qulTE744ijQNFddEa1BTjlhu92SbXHQnWZtDvLL16YGM55ugrA5tqWMXNnJPT4kpzbXyye9FPHtu
VpVWEx+QDJsW8z4Jps1vHfN7LXGeTd84dT3+T6a6hP2sG19gOajvMH+NS8cOX1lZHwgs32JYPqti
ePNj4wCbF60NLA1epMKrFeLdJ3GwowzCRGpwVM6AhuM7kpimWrZoZkh41ir/HNPxSJPipqmTCIzt
tJOBdRRDtNUqYpUSuctcchYKNVlGNgRIKzau3T67bQBodsVIbEue3zEYzulRJAeqz52qKieXEpaj
0EYfyl3juxslCXeBXR4Afz9apnFIc21fGey0hkMulPxChUzzOrgefE4KIx62yQ9XFWWxKJu3LHSP
Sp57NS/dQO5X66ZfINcTJOXmu0KNbiodEYgeea5Jo8vIoBgP6m2dKBiKckXxCDkDOR2sCGZZ++BY
3Bn22Lo1abHaNmv1J2TJXhprw1qQ1Gwgg+NoUS7IwipZ3ZOn1GhRuQkSZJHxuQkDujZIiZ+JH0hF
3BjOdFE7EtPANNyNPRq7WD4WNAQpoYEwKF301a+KjrkA5I8mNK56oV75gUG8cmOtkMCuTN/exG60
cyPVXQcBaXHJxKxBXDVS4457fLeWzssSFL2gxUSrKyQ7euWPlnMutGKfmzQWUmZ6YaNep6ZyTBtY
kEpgrOsa87IvQphnNUamcLSeRY9D2GWlwe81HIfBwabZF4+DmK6lYj3reuyvZVQ+qVjvFqrVrpO6
SzFncdeOr23deekpMZN2hRtugyqNPRSGJ4laLQmU6azo1UFqQbnUMXouyyqjZBzIshxLKFH815gg
sejK2yAa5IbAyR3NA5DdTUvC17xrC/NpYNxDsB0pJNWA57IczSstia4gd3lmbIY7O5zqI3HUMyjS
eNSDNNj3lX/t1ukzKhxzO3/diTdDfpazm6MHN56dEKaZNK9pKEZH10Aio8ldINU7Hcb1VAgVsVBL
R6NYqllyLAN109omugSRfUPHmbKW61S1zl3SFPuIUj+hL9ghhljVevM0auWNOxDtnEv7KtYCQrHj
NcKVkXT1+KFM3WdzMG7wShUHYcQ5pGwL/GVjPk+Zu3PJy/JiNaIZ0/GLlVJbF4BpYIOZ3TZOIXvV
cAEg5puZatwOWqxTRlQVbVsC6kydnpxhKStdi/wp9j6Ufpffp94/scARG47Ei+mfxh4PjkH9VEDp
kaoOup5H51gi085P9TQsXPP25xeZJ4n/PXAneOT9IqTqweZEdPa5q534ZBoqdR2d1XGn5CcVnYxi
3jX93c8vQyX618vYSA5MLFZz+gQ//9A891XVpQpQObjr3/riXjF+YRf8we9nBAD3E/wnj+vzs6rd
0SoKK0vPec+LtnV8VHh/luE/+Cx+9PsRz/OEeFAzBeP7f39gz51aUYIEou4QF/FPtOj/1bD3yR/4
+8fw4fl8+qyJqtPo4/N8AJQrmZfA17OXJo33tzRe/vxWfnApojqJC3JMgSjQ/fRRpA6Nw34qkrMa
b/FuNupC0lE1PbZhQgZ+fq35n/3p7fruY6F38fFjV7Uo62wrTc/S8GjEEefGV4s1dezWP7/Qj27q
4+f/6aZyO3axPP5+IdrjZIKCCmIfmbdi+Yt3bf5Hf74pBCoq+V/YNdBAfn9Thsj1go03P9fG2k9f
uwG51pef386PXrcPl/j8uk0IHYsA1fI5d15j/9lU/gev88zqRtKDuQk/wve3EJepaExFz88xKyCd
3HT8HyxejMpUNBQoIhjWY3X4+MnnSs753tKK82S/9vZVO49+ml+sXT/60HmJESWZc+zOLJX9eA2C
QmQ+OhMkKg5+ozePXsR1V9GS/i/2zmM5ciPdwq9yXwATMAm3rUI5FllFb3qDINkkEt7bp79fUtMa
taS5MYqYxdyIWWgjNskiWcj8zTnfCVir/N9/kT/5Xp7Oj2EaLmAs5k8/fy8ZIgnxE7s4S9VTb4hT
k+Qf1gzXd+bt17f6r4hNxXz9euj+wUBzbl4JQf6TgSef9WPgyY6YkbbJJJUcK+PLJfNj4EkCsqE8
jrbpeLwhfiuOtshGJpAJmzK8QRQDPLA/dsSW4iQ6/MeXVXR986/MPBlq8i74x9HAtcPbna/vc52h
oTO8370jawfE9ujqITYGpK7WkqU+mjI/PGpTrR8LtyXvQtPn/ptI5EUczi9eZCzryk3erYGURBjE
o7tnfZwPm9qCrqZXNenbSZyAa3Vk+QgDmERJoE5tpEZbQOJBXpvIgq3mVRCZ+dH1ethszcImG5X8
bkjruEGYfWwlS+h602UtbLGsEWSqNAlUExaO/sonjbj9yiVO44qM4kTFFU9El2uE2cG9Z+FixyFN
OenGoQc6zFFrPc1K/C1EGdqAmURzSS5yRhdbkZPMGONqITfZsJZLSY4yHsBLUWYHg3zliUppbTsN
lB+D8OWyHWCPtUJeInXd6ZV2nQzM1qrQO3YqvNlRMc4RVdpl0ZaEAGtjupkdFMINofGBW/fnqWvP
WjoBfmGchIQZY31ZjhvJih0Ns9NBNo+tuflMre4uzvQ7IoZzm+qxK661GvikJVihIUyPKkc+E+e0
djvCpNswh20AgdYq5afbgog3K1oYs/ToXCA3zlZ+pzn2uK08Oia3BlfSNGRm1So2GoIV6pkJpJvr
BKZRyPMQAWGOK6DKFnvobtLKW2ekXwTziwigWVl+j5bIhDMXa1ek+GwHB8za3FfiofVJG0aeTseY
eVs9w4GRkRtIPnSDp8itXuywL0DXarQvqwIi9LqdGZH/5lH8k/rnD3ceD5yy2Ho+pEbKt9/VP+Qx
jnrqt8nJ1GW1tbLRfCXB0VuP0Gf/zkr4N5x//7kGEGWl++dH2+m14oL+gyqXz/lxsBHyoaKtqY0x
nQv87b/Z5JikvmNAQsGic0IpluuPTY73Nw4u1IgsgNiwfPkJfxxsnIa28PmIpQyHuuv9lYPN+hIc
/vZgU4JE3CPKgIieBpb/z9dfU7e5sMmDPFdKX4VGnzWu0lxViK+MpN6FyoulVFlh1b/pyLRiZyLl
A+FWa4cZ23gNOmAd6EratYAisRF7mdADWaTHZ4cYrTn0rnlv8wAohViNVCxFMjYiHSuRkHlIyfrE
ZFaCtsxzWBE1Ee957FV3jlKggU3+0JziCPIOpoJSqblKr6Yp5ZqHhG02WajCxd7liNt0Dtl1hdzN
raxrZhpnW+ng+qYYwNUgjkudeRdOKaBF27/JkM9FdL6F0tPNNvy0KENjNyO2G5XqblH6u+JLiYck
b1HaPIuIO7xye+Yx+jaa0O+xe5LMeREdwmqqLno9SjdmNRar3nT9IJX1Os4gK9bZW0RkbTfz0quh
3fV1A4+lJIB4WlguuzoZ5GO6h1e/maLOX9etDBqRGQeS1Y+WnsUXnKgXIWssMn71ah2mLEtS0qj9
0bmrjdghCqKBMUnUEiETjTh7mXMoRlbW6CYBiLd2dmDzcHLIwbCKolu3Xfitjbz7RIMdFGvWXszh
Bw1YscpB6nBW5EHLtgpjP0B3TYh9KUMQrWmu37PmgYg02QfGU1MgouoWJ+Meopu7ljaArmhp63UZ
t+GBxYwOeBv5YMWFEjPp2Cwynjd1iFYAweV7YzB7QqKI801bzFu/BoG62CkRGYQnEWsoAw1b53YY
dT+lkjVz0G9hcXBQZe7RW4/rUfPSQ+XZweQKlNwChiZtd7LrSjur900bleGdR97dheHI75FWVhsv
TP2LBTLu2siaQ1NH92yiUH105l5oFWRiJket7O3N4DHLGIryWHgNysj8s5yKZiWWEcvr8Fy1TL4R
2Tz2JoTOGM3Zegir56H19I3bLpd9MV3muS7WjZeQiOYRSYgtoxvtK0QmPBLaYzca+lqQe5+YDGWc
SJy5i3a9B8YtRm4EW6/k+m53KMEuuesglvrdt6UKz4OePoBLxeoNzD4ya5Q3mIbWiVHHmyYp220s
C2Kh0ysZaWhwI7nRff+qyPx9R++xHl3texzGD6So1etIi+QqMfXvVlw9DqkXaHDhVw30ydehsTea
ob0Mgont2HlXFsRWaEZOeuOk4hsIiGNruN/dpT0yVTwtBmqPeBGrtrTPU1maVwWXZqYzuq9c52hN
zZrcah0NnbwdIh3waTx/M937VNuI2TtWcbz1BwJfQwnRtSBgNx4IHOjS7Ab4o4Ygp3mptO42cfoQ
Fc1yLW3ggo7VYfshSTFONprm7BdFgiRwBiRcA8UIOcpKKaJd3wcJl55xA6x7wV/dhPE0uBN053z5
5jtDt8V1tXZwJdj4IzONoqwb6st+XA5+Fb+B/yOD2zACcpR9rM/JXZfZb34Dy6ufWpZBtfsYaQQI
GnnIQ1zioLFkh1OYs3DlLxlOuC/Z6r+rmfjPvUwtxgj//DL9lYN691r8z0X5WoOB+uPlqr7Gr5er
juKBMZrDLfq7rkEZAWCQwlxARvFLask/LleLPgOdJ/fu3z0CPy5XuhAybH75Yrgu/5JQ4pfW8ae7
1cOHA0AJfSsXL4b+n+9WCEs5qMu5Oc8aVV+1MlEy8nYpvIQzTBbnWDhXsQRJ7YBgDhfHhg6dYraM
9FsrFLdp03+UNAqrCYBzMgxHCdCZjKnLFHO4BuiZWf+lB/gZqibUXjG94U6+1EktWFlAoqESbMPI
vWyBR5ezdkN09YM7F082NGIPyLQnPJZ3HgdrcUgR8UlMMwBWrYPtyUeWfXgB9RtSBk89+3oWoqfJ
RXPqO9MlOoed3RgoKaIHm9WSxk+0yZrxzQeJHfrptmusb1aU7QaQ2UXocIv7x0HUpxCktl9OWx/E
diQrwNhItkp0CyC4sabuJftGf55XqN3PiZGQaWxsSBkPahDeUh9eQLxfS9lfReO8HhTqm8E/G9dT
Y+Kq9z9bVsjQAGCDy76/WICFh5D9iA56SpLhoLV+MAAVl9Gy05IkyIGNO1VzN7cz584Un1XSNyyE
wABPbrf5fpnb29zr3grw5ZpXnCQ48wGsOaDIi7yZ933NRQj2HLcCEkrWukQ6WJG4dRUf3QO+2Cli
usjGq7RnH2bMBG2H6atVilsfyLqkTYT+7Z578OuRmQdLNBwacHwsz24TfzoY4NqF8qCDb3dIGlnV
LKGIbxcrqRjvbl5fxYr67ij+e0aKa1CChHe/2PD1tPMULT6aqifTrCSxLdMb4SMAx5svvHw7++Oy
Cb+w8wlG+ANh6k1yFsuC2TxhP2jt4FlxKpOsEQwTuz+mmLuy7nEEetVtWnbVRQERc93WdDBGpojV
9jIEwwwcIJsQNfoFS0FwgsmtaZi71AR5yn53nxQG21Jc0vhWaJELomjWRtFDk6yQ13aenqDzHMUe
EYnN5ni+i8VcB4TH0nVZiCKXHqQd4lSa46h9oOzBSu/08yrJSM/ycBcsyedoE8foa+a9ZobvpWcF
3izOi2lvRZOewBOMQToOa/rqD66sKy/pnrSRz7tq+g6I7yz6dY39c2U50SbOyxuzRPMKzDigduvY
+rC5XqSCCVbiLUKWs9LRPK+qtu4DOMSnWMkEXAybvsZuZxB9vh4GLovU9D6iyv9WzOYDMJcPXj+5
NKXeghWwssCqEBzJnBB6uyBlngqXfWhl0HQ2LOjj8yDzC26gRzHNn72rXyS+d4EyE9Wpxgo9ko/x
whItz+rTHI71Nh9o5c1ec67KLGR0LmEbUVDATh/gKguijIDGPJNaym+5zr9rJQYXJA9qhRsV2ySd
DqGW7RLSntf+MrwsJSUH669zrLtvRKK9TVg9V82U8751HVw9MD5d2P6R12grs0bJUGUImCxzF5bm
c8eiWsF/qWypN6O+hWoZP8+RxRfXBA6kOgdojEy37960vglak2nIFGJ5KcIniyDX9UzVuZg9NROr
UqvXzDUgE9LrmupejlYe6AmcOpREyi0SPlsZJUZYhS7vL2tLk1KvfH/kEY3TmVKMx7LBRsjLsz5z
3Zx2QwjouEcjEKeofMe8PqBJcHhtw0XltecpR0yKIWdF5sBhlPpJdsNjoesX3eihsdF84L8aKuOe
uNNU6ndj1B3tQt4bs4uYNEEjAwJ35YnRCpxJu4wp80A7pw+NFCyg88oNMrdCgStlWmybsY3kWitD
sUIbr6ODHuRBdPFW4tJZFbqn7ZBQgfco0O8XbU7GbW9ekJF7UylromtM2U1cDvH631Vv/D93H5r/
WlFy+hhev/9Zs/9zPUJlwRyFeaMFLI8B548pJvWI6emqChCWx9CSEcGPesT/G6NNqg2G0OS38+n/
mGKSPK/b+GZhRphM3f9aPaIqpZ+GmPT6rOhsn9UQJROv4ud6JOzjygLkMJ/j4tqaqRnMEAURZr2H
acGErs8mj4lZXHpLdsspSDmRaWsXxwKZihldc9ySl9T5vNf8s6WzgZk0582X6VXW+4/LUj9YY/EJ
vnRba061isESMs/iKmwdc42+eKeb+SW0VPz14eCDCWdjr9fgellpIWxMHx3QPFuLbR+ByWSYMEZY
lab9nGbU1/PypoVMDOnf9mPdP6Rxd9344hSzO9+BD7vLMcCX5RSdwqG7KMehwk/XHg0P6cdEeGQ+
lfzMS5B41qr2+kPvyS1b2pCZaLEtpPbUV5xFDBOA7Z1YpW0XIVk3uW64gbrC6HHsAzwE29qDDG8x
AmRm/R3XxrlNDWcVxfV8t2g5lJiQqMmqXS/1ROOdcMCRYI+/udCSja/ZL/mSEnI9hi68GD27cMuY
8mbkStQmQjHcMgm8Uek1fZtRJCOR0V9WloE4H4IzOgv7EeE8KZwR1gTEBj3TAs6tEn/O5KD2fDDG
kXU1xPiaOTGnh9xkX4iG6Rdeg1TshrBESVmDc0CztEnBO+jZtF8U76FX5IckinaTDgvCVVSIEDyE
cHFQA0f/qBL7KlMECXCX3xbFlADeiWgCzEQHbiKGDg18ohYE+djgKGawFFNDKr0DqIK0Vw1KQWVj
oxmufEWzSBEIYtB8moVzkSveRQ74ojbs+kHkUJ1zwWhBoTHGA+7t3ZQkTFrtENNRHO5hRZbrqLaO
syJswGlwD7M24/AGv6EN0MIdgBxwSsgYwN+pTBYeyI7Fx72JD9aBX1SQkKfSLgB8xFThUA8AUZkh
IToQdjUIek3TPy6omzIgIaXF74zO8lkHH1KE6QOw5pcob64nxReZOg8TzvLcNkXOl5d7BvP4LVHl
FcBJ8t7l3QyuZOhmom3r126ON8Q1HTGlBAZ4EyceOyol5IZYLLllm+yePvVBKipK1YuWl5YeyQvY
VAtdROe+1Iqk0vTOVQNahVJkp1skkyvmij6DsQfCYgNjIUt36wJnAZF7nipoLbWzmLijBjL9QLks
6XACUrFNi+8p1pselcSmHcNdGY/kS2cCm409X8ekjno6iS/+SEXUue3z0rfTGmTWax4SlG3rabfW
WxLqs8jEXzLfOwvTiqnM3JXVuPdEMB7xJr8snrzK/OnGMslS0VMC0Gt2Drm+z32Pt5FbH9Cm8QYM
FSF82oSJ+WEnouKBMu55Gz+7HY59gzieLnZuWt/67i9zs0m08boMkdHlrSHWGFtcYsKJSskciaS4
awyWHFN2TVd1mxKsp+Q99SEcpL7JcRxvC8d/m8Lulaib69BocKO5dhi0o44vbK4xMyf2kftfXC+W
tyMRVwLRYolxVxXGeziTVx6lywNLiUtrid4MlFd91s/7PPS1TZeaVAkR1tlKtlsG/MXWT7uPsnKX
Tc/Un3i/SoH3ayYKFLcrwrnANtlZsw5Fc7kY7rEzDbzNxkHK7rZBvQem3Do4izhNvXYsc37KOK2D
qpM6ijpNBKAZg0TmBCO54hdlwb9hcP///e5n5v4vDCSus9f3j+aPswilEPjNLEJHpQJU5suWoQbt
v7n70WRw8TvoZL5G9r+5+4FHW8oWC0wOPRCf9WMWoQywjPphMUFFdrmL/tKg3/95z/1FHrAVMVoR
AE1Fwf358h8A+ohOuOO5I7KX4jl9Kof51i2HYZP50RmsUvLOkqxYxbN1j+2JW8TSGJ+646cm9S3G
EoFpSUO5SKo8mYgITF2UpICM3pqIue+UuSSS9sWt8LOIG7kMd+NAZluO40xW7ltvxXfOsDxJRqyI
NrFamZVYT6XMabqrC0utH3JXebj8Yrtk5h3fKxg7o6dU7yU2sdkgcABpPYOSqy71H9DzMExJo+9J
610JdGq6mM4yavelyynJSXRjSl3fCs/CJSkUkQcRM7IPZ+WaxERDVVcHxoq6ZW3VPStZoZKdaLgM
Qma2fkfSNkWGt+mZqmysNNw5+DZXpZWz9qzEfeOTHzP7QW9Zmx6T4IqcyZjsr/mwGIlYd4UEDKUv
j7b/nYzRoDEnNUa+YIby3OtLTMQYcSbCiuHqzBQ6ztCjjJ3mj0EvD4Phbl1LIxhFl4+RwZqWWHIU
4sgmkfpRbaixsUvYi3tSg++obB5LzX7DsnKE3YYmdAkgA9BsGYc+TG/MGXtBZDu3Hr+hMHaJNimb
7Zhlp0b4t06sv6XToq/AfnNe6oayaYwPuSleEkRRbEcBLgyF2Fa9AWt6co9kTN5rGdpbZ9Ef4yHJ
VmORkJEWwu9qTrgKjlHDHKvNsg/wTN+mQbuvGFtNcroltmqrO9pzryXvWEopt+x5WDcVyZ2LEkab
bf3pzvOd3msx6BaYT1l6OSYugkf8zOITQfcmNPlxxn7ZVm7ZBqaI70qcP06iGtjI3S2Ja6+aovxm
Fc6LRezlupinV9GPvL8MDA15BKdy6Ery2bLv5KU9+Q39ozDJxcgccBbzvnS674NGdKAprXubsXzE
8hYTeH1t6GOHcXSYAobKctXQ9AWa7KF+WZ6yQKePSccvaaHaW9nc3wTKmbedU238KicqI2/8DZkG
1UVINMDJ7MvHqX3J6oPFM/eSs6sqFaBSRkxUlk7g65zlzTw2/iFMMUmUbjvtYByCG+xHse5rI8GO
LLkHtOqTbQ3gBxZ1HXeUDJN50+VpvTwMX8WhPUweZVsUpuKuCC1KLUSsj7FIiM6juARiTSY55eZU
COpOVYBC5QDE7e+wOlObGp4XdGOTXSADdTc54RCotK2XcrATaPc8bpnkLV2M4NEko/4YYdJai/Mg
8vzpzqsohUtMC5NcvqvtOflFXhBTTOsU1X2aU11POKsKx5MBtl0knu5pEmKF54oEBu8ppkSXnh2u
IAhtcYcdYor4Bsl2RlGfxf2WULhuvVDuA4lgOUgDIGQRnTJaglQ4d/x2jV1Ns9AmFGw0Dz5NRGMJ
9Afh+NY64rEsredcd8Fo0ngkmUV9DIhEWUgebam88wu7A5Typ1F1LoXqYVKZXeo0NfxfE48xwN26
s1lS0PmYtbZprPRzpiWqEvexquMrpBlvJBGWaz0HmUcT5fSlvhK1tFYW9T9CXdY1emi86VNy69GE
8cejG0sAsnSp+5APw8gTQtKfPXpyg044cNSlT68Hr4g6gMw5nKU8ei4VQivNQ6tKhpjaAf889bNx
oVNTgAC9JIeLbApVbmSjI4miz/2VFefATlwAnyI3GAtSqWhy6balXyfbrvdjGAH6qVCFzaBKHJNa
Z4nCV23OLyU1kKaKIWOa3zVVHs2wVNfNiC2oFWwUZ9y2blS/j8ggcaewv6R6eYg95yir6j1eaERJ
78nvWbDttcJ8IKgoX4cVf43MDbfU93rghQgknPHg5lUYhE6/rxJuh6rDPjuyc8oz3msYOhBeZHpE
uHajK9wba+dig6CoJQWma/1vZk6O8NV/xyLMMHCWsq34l0qjPn9t/1gaqU//bWlE7hxO0a9Cxvt5
LAJ8jAGHTgDEF2TsR2lEYJ3gQwZjClIofpGE/SiNmJjACGaQYRIn9OV1/QtQJqyzv5+L4IuFmazG
LEQSYWr9uTQSDDzBic3G2ca1ne4hvZrMCOr0KoGUJ5b2xpPLE8IhHuwu242R/6TFsl3lMPVs1rp+
mDHt4KwhbAVtWNncOEO584V+7EmbdCD2WZD7ln5vJ9pLCcwvjDjOorOhKH9syr21Y1NIuAYy8LTF
BOjMy3cmAKj3e9pVUr1eIKGRj25p3VaMHbPYfD9+8QUBDdI7WptasQcRNx8XRSM0cWEJtD480dlj
oTEczxv9IwZhOC7mdzYTcA8U3ZCa5C5XvEN2Ci/jrD01C1DDaamZkjgeWVX+qXDm+aiJ9BYBnMrn
gqQ4gVREUMQ/DNtPJEqCf9i+N4MB4REOY2LG0EMVmzFXlEaAG+96+kwnKVsHujHYaXtsuK1J4Ajd
rgk4S6E92qkiPxbSYqVbAVTDQ6XYkMYXJzKeQFHLYoDHOBXpHlxLzVhD61fYQasNujhmV7qvPANe
tqUDTvFQDuynHCbxAE3G7gazqMEPljU3Q2klwE4IfOCA4VcFpnnVNujLZJ0QpFPAushr57lcGhYM
PWhh0bAnK8uWsG91104+KfahH9r4w8b5Bh+2IEor0YOEjYIsnfLCx3yx4qKNr0JbT4KRbFG4T4O7
mxrUdDgnCOmood6BhLDCnZH2n6bPLquWNWsH8kn3hqO9DR1/PrIf6w3IBggqNaKYGI/xHsTZh6+V
NmDScdzgiGROobJY9b5dl3aSXXsWGhSDfOFVqjFn8A3gpCKziD0aWnsH1eYjnwx/BxwENl6jEcm8
lNEFvznukXAsXr0Sf6M5x/o+1MlDaHV4CAX4J6ZQXdoEhuvSbcPfe6tmAltK8uRXra0WGZ7WHEe3
HI/R2Dc70nO5NFTmYQXXZcMfT6zC1v6MkS6vxCwJ3xLWTnFy5EpfchzIPluqxvPEmw6+iZkS7L4x
Z23AlMVZ1ZUYNlRNhsarLJwgKeCw8MxFFw36hf24pEW3keRy6ZvJ8tgwDqzyPzOAM3sPJOFNSeUX
wLxoj1246LhZKS0afbrPNCPCUJzZqwJYJ+br+nHW/GitL2EHpWwsUYNM2JvbFy2qn7KyoE7yfESI
OUOKIQe3muguDIg5eTSK8jqp2/jb7OPQM2Uk8RV6MEwq3DdLfxMXmDNtB/4gIZf1we+dDyb639B1
bsfIk+vJ1z7HpFNIlvjF0pILTNvPkzO6O6vVnHWWN+oQ8a/4VRx6tp0lz6mmBIJd7t3rnn1dG/Ki
Mmx3VTTlydXFu+n4T0OmTQHoq+tuabyD1zT7cmnv2sV/qKUTbvSOwqbuG6jnc7xCGDLvLJMJYlJQ
9XikSbGkQsQibyO9ARoWhdWqz6z6aOvLKwM5qLGFuY9LeZG64dmzxittsupgBqbIk8LSBHw3tU2c
sQfFcPuWeIwJnbRL9sR3Y4oTvYXpyRcXDukzK+GULciX/M1vbc4svS+wG9XX5ajdMdxUAI80vohw
VDJeitj4zqPHS6L0mzVS5qgySecux+gmZyvPyA+Xaa8enkUP6b/UN+0qW26SMPZ3OvCj2yxqqsAz
caVywvS7NnHojOzJ31XCmDdLQgcHrCnjhHHn3dQDHw7b2MKtl4uNvyQQWRr7E43sEqRiOWA/PTO+
O+ZWcmn3U76BSGvurBEsi6VX4TYlvnMrXVvfZWFInh4w8r3pTDZrREp4ybYsxBy8M62Joz7h1bIL
RJc6omnJCrJRUQ9nAMM5pfSamfdY8JPazcDWfECR1yeGw1qbkWyS093WUReBqkRoxTHVr/5b8/xS
87B6+ec1z93rO0GTiD3/JJ9X5cf8Wu5A81bVBOwyShfIPD9NgjyHIdGPj/BZP7ZAjHssh1uZyxnp
p42u8zeTIJ0yyIDM7fHgsD/6K5Mg+Gm/L3dcCi716tClsKj6fV6IlQwFjcg0nqfMY5/KVmiLqS/Z
VIma8k8d0++05bm0xfAyJvmxankkHN1zaVfieB3OURuEhWcQ1OtsEBDSV8+Fu3b0WDvq3fJqh+Zy
YpP7MTp1S3ooWK2KFTRLW+eqUFvpebBqHtehPuFd2ySsrgm134w6coOYpXbemRfA0D7TaX4cWXq7
Ij3XLMFdw9wTQs2WOOFuiNWmPMkMHPlqe87GokVOzhCFEd1H4oqH0dG+pYP2MarduxuCAptGFgRF
mX+vc1btqa6dOh2ROtkIEHdSVJuD77zNarMP/MlYZ0rvMqi9P8DjR6mEAAgCnBImh/ulEVBqgajZ
9dFVFB+cyrqtWwcCQPixKKRBcY3mZwxIRTgVTD2WKXnKa9IDkCTIwr4flEZBTz7nSE25ES94hAOD
weAGGxA2lBpozFlpHfpMZtupgx1X+5ytDZKIHIxQ0CmVBILDZG1lEjyF0lAspVjW4CiXdRtCnuNY
bAOB6CKVbBFyzdqR6JDcApIwg4n1wCqZmXIYsT0EdklIbKO0HFzhwzrFx3mB6PW2bCdcmkr7gdbt
wHQoDhqLZbQA47vvQ39OH4tIc6Mrs13yJ7hd2A4yVPf8+oZlPVmUs8MUU6nY3meLsXWSw1l2DQ7y
r2as+2rMGhIXv4PFcjUAWCgVY2GEWxtswNnV42nNbYWSxZyLbSXG8ipfzPgBWedjQ8ozygP/WxpP
OZd0Rf6xSMxAq3qsErN37xfjwcrJlWzCHk8sOtXGMB60nuO3Z5q+mcKl2A0jIRy5yOuV22KcagsW
ciQmrKx2uJpgq9zzDkBWLFz47XU2XRczk0GvH6t7dAlvLVapo5uaA0su+VEZVAuLmOGQ+gaioZIq
QkcEkmu2Qc/d9fumD5u9CdfhrnZqAJ2lW9ynJgiJyoglIq7qvvS6oOscBk5QW5n12fvJYWLVh4De
E8VT7coZ7gCEVc1qpnWuqKt2DLUBVxba0jh0LrpZfwWaua7l+Mgit0L0C7+VOzMJIuFT9U5CO2ia
Dw8+GaGPL3UYxF5X7ODppe8pToZ9BoRgtcCfT0c57Qc0rJumQ7cVNIhQV47iy46KNCtx7155w3xq
mWGzNsKax06TJzMfmi25slPQmUV7pXkLId1GCp7DnpbNv+s++s+VQtrM3//5VfOrFPK+iQvoH3/s
r9Xn/3rhmLTKuAgEHlnTd37qr62/OaZFLJHK7ULb//fbBrg3rgJyzwxcBpa6VP5x2/jwpWCDeWiw
bBQLf81g4Opqr/CTCBK2pw+fzoRNxeVmq9voNwZh+CaTU+MyuC6MSoir1lTp2LOiZdrg2kZys6dp
YEWLAua9HkiVLqG+kQN0B7lQriz3bR7Q2Fd9RIJ4vq2ruKDVgB3bC/ekd6AhtQRNGmhj+ovS5yCL
Zrk1K6dfySo6aVqYKvVVt07C8tzO3XdN+Qdsf/wuKq3cSBCIPXZ2eJ/xcRIL0kk/udKq+rrRSzso
pbWwxnNAPYZ8zJ0bhFKsN5u+UbCV7ZKnrM9N702bjK1kW4HuK9q7bncqlrRepakaEdTjCxr0h6yb
s3WSGneW3T1Hnm3uGOp7O4N64BwREscklpUCHX+zMeboFRx/uWMDjG6IZ43K8FyKOiP12bxjklev
8H3dTKZ+kev2h+jyndUQKSziozBnTBTAGSaPTAK/41/7+1xvnlnAHMpJAXvS6LlsnWc/ebNGjPnC
em99/70x23OzxE92Ob2nwssD09KXwLOda+54ukx73OeSOXjSaVj7NWQecxrfURCf+ko7LVYdKrs9
l5ZJzW1DgzkkBgB121ACcl1cq6TxY636bVuTLspE45hIJ9rRyDvbOsquaID1jddOD06rXZhj3bCH
6C68Ev6l7ufnahb+ek5r+CpVYQIGHHcexK6giXsJhCfzdqkrGxAteOycIcS825v4DzI+6s4mMJbx
MfRciDz9taP3Z70ELMYZWO8aBsH48VnXpPClMSYgiRmjFeJ8DHF6c+DwRr1uahApbCtcj+VwRMdz
Irne5F82bwnXJPK36zHSD1HiQqQykx2j9Ye8E3vfmAqkLs5DR7Ok59FjW3YfsMs1okoIQ7J7R8m8
fLnl5n8uEqg6kcl+wK2etJ5BQdaOD5pPFcCnZvCVtXpjDendrJnzhlUWrESj/MxbnOVxWV2J2T+n
gtqmmyfA2uV42U/DuJm8qTy7Y457JWk8MpBjEFhKR9P1CPG5RF67kKuBniikXCF+yEqTp56hbRY/
WJ2R8Q6M3Q3PWiDEwH65I3+KfKBixSSn2k+GGWLHBrtTjVcCcX6QJ3RJi6bdzAPJFHNRL4Fr5qdY
YXARKTjY9qxmPUWLCjp/TXFQqvfanQB6NH+mOuktWkTl4bYba54gcZFf7onyEXHVJ5Ju7CSu+GwW
/cVvfUbw2aliYWQ6hrsCLCQ3zoxUdM7rW9m3r5lgGEPevVcuFwK8yboxJp2oZESq7PXpbOdPs22+
RVp/HMvuJqu0KzBwKW6VLljS6cryh2kN7TZdkaZEABrDaGyCkpVV131Wih2bTaPJIsJ9jYkoRP2l
Y4HQUpwzE8Lt0eMypnFkRKJ5kFDEM6cuCV5zA6Emc9476v4VgvQ44EA+whSZdlHb91u5DBddaAEb
aqJbR06vCYRyYK6p2HZ1i6ci6ox1K+q9Q14qsmDCzuR019mMkIDVbrIJQhu1nLkpCrvhoSt5JDyH
JQROiXIKT6Xa3ok+nJB3RXdM685l5d/5odhb08w8svBBsczZbVhVpygy6m3UedkzykTK/3G41Ggu
qEvVg20nTy4+DPaXY7rlWEXYbcq3qSAMoRcx3p3iggP9dhblsK/RwyPt7G8Y5gAZVtHgxOntpA7T
d2gtTEEOqblecSFDR6zTOkO7PtzENksEM2GmBqqH6rQxNkWU8bnDcGez9dsvRf/WQl1b+dR5K7Mw
JbVYreFE0j59YXBfyCbeeb52Q+n25lg823UG/VTkaqk6IXmCAVGcdOYQq6asnw0vD9edh4w+n9lc
/S9757EcSXJt21+59ubR5iE8xOBNUgskMqEKYhIGoIDQWsfXv+XVXd1VZJPGtscBrxmHbBoyC4mM
48fP2XttgFiEliH1Rw9jbGWZi02M4WtDbvsbm5FHdk7WcvDzDSscUMv8yRccd3AGTRPBzCiCDc47
PlOIV3vTHHZeYHE74JbBQyPZulj9AzHvNwNnIuFdLDEj2bA9dGSwpJvi6+aqQL6Y/wYCKroqtRn5
shWfJqi0CwTuwzIQNHFagmq9nbYKvywLeYmD8mPUebnGip9sm+XiUCODtbv8SjftihCy+cT5Py4c
J98JXd+3aVkvrcno1glZFk9VGqf7Ron6DB58JhCPGiLqNmq/DlW6gfTzwGEvACSjOeX83zdRcHai
6t6bkx3gkQF+NcCptCsAuVlk7MGBdnKU9kVvobCtuXIYjvMejYW2yuoiWFZFOW+mwr3V/axaS1BT
9KVjvi5L8tVYOvl7UU+vtsaXoQ17Y5MkLhsjhpGurx2iIHgFtLoKEsaJY1wiVC/4eae8FAl0wMIT
AW4m+Q62z9rQzz9bgsliXNkX0dlfCgzKfqlEcIH5GQvSPMwe3YFh1OQqjDk7Rydl2GyDuhaQL9cE
IrMFjiYUVbP+bDf9tWcl0Xou+cPWELFX4UT4T+zgobC1+FXA5EZWHC7byI+XVV8eo54VHPrl7TSj
Ne9MwFWdSHZx0I5LdpucdyoiqDLQVxVxDdbXc8m017gBukG96XVTsELr+1UhUDMns6qq9mOG5Zxw
Jl8us0q7D+vhofa8YpFH3rIY0quu0eUi6FyWbU3BLNQK71pkV2u8mvsORTZZ72gq8u4SpCTNmU1L
KGSpMZK2eZ5MPFJjoKUrI8n3Gp0TD2QsloMB/ZC4RaQVPPZ1yBES7yobZ95cRR8DqkGttD9tod1r
wJxWTgZbMvESbNcZio7UeO+n+uhxkkORku8NM3KkmTWBRzpmR2BCCM+RiNjJY5BlqLXH2li6nb2M
tWwT+G+AjK5oDJhTcj9d6F18KJUrpexi3MxRsfcruMuumzwHmiwxQMT3eu1ixu60WyfDFmkASbS8
4XFUWxY7nJHWlUW+rlpSYSZJKgELdH4dhh7IMGtrXRQWUrbi4rpTAbQd2jjP3SeGQzR/ZPStg8Tc
ME94Knse3bDWb1g/1tAkzJNpRy034Jhom6S8syP+RhIWBe3lSJ2u89No1Qi/bVR0bvseZ2CUQRU9
VmNIDerEA6E1h3FK7w1w8auhoaQ64q3vYV+7Q24u4FsOqyLtrsqm3uRidJHyYlTwSsFl0Y4/PHrj
sGfXC6j9Y85qrDGMjWFt76EQPUVs+lsnfih7ZAENXZ6TUPqg32Oj8Zg+F2nEP7JztmKsP+2Qls4p
RoQV9Hx9jK03jZ86J9/7DFmRr7+SjvYWt93ZsqoDCDt9FWQjcDCEkcyNd1PlEPyor0eJqMWvirux
wVZvASuRGtfumDG1CbgTFMFkEmrF1osdzlU9FnvGVMtUwgM7NLEOmDpwjOQmzWf7acL24l5Xmuz5
D7It+9Xk2stOltqvfJj/yuAU7uIfX0aVHW/xUeev9dfoz7Ie1E9/v4rq1i9EHLKU9YByqEvnH7NP
FQPBVYgZp1KhI3T//TYKoJjwctPxEKjb3EuVE/77qtf8hUGqSsyRyOQc6MV/ZfYJAudvbqMMFFlu
2w5+LBX38+22+sNt1BulVnq6GV5riWusZJ+1a5f54d7uyf/uaxOed1u1NYjISXMoasnMeBM7TRM/
wAxGwj3bPUKI2rBWeVUG9JJESvQ3NHrF9Nrplk4RDMZq7rgapD3e3kUFu8QcV+a3jL3E0at5z7Ky
DpptW2ppeOe2lL9aYltd5BrUZ+x/c3yfFWn/wOQuNpZpIqa7kKYkUkU33JQlF4EC4MeOQFGUN7Jz
vuR6zzp0Qur9pURQiwFVlvO0tHJmXkutqfJlYpbuxUz6kie3ip+piHIHQ4iIB2RQPnM2PeAO7sbR
Cf+22xGvMHNfcCPbX3qFAdVfZEs2Gx0gMSe7duy8v80MG5Rgl0CTj5y833Uada1LK/fF4NI/o6b3
innRo1OmyXAj6WBSTp1bxEQQxuc2i3Zp7czvmaHBKQ+sqcmXk8CCa2w6T8ZMmSyzg4fr9maL3ZA/
SLOKIMY/wxbVddaZJAhasY6Rcs0yGVXgGgLu3KP7H8x59uiz2Pytp7IOtg5j6Zum7uMXxIXNjec0
DkEGts6oEkDJfTaU157ZlGiJNT7NS64FvVgHjdKoB37RVfvQ0Dv2W5ERPyeQVu5HD6UvK5kOc/uQ
iyjdCTNvHWWN8+N9pdfxeMicyBo+7MENPjw8qlt4sT63z7AAgOhBNWy0hiWXBg4scaPmKTT1sj5X
3EiR1bX/to3Nf+6ETKEo/nlRWkUfwZ/tYvjB3+uR/Ytwdbafv7IylLfmuyqXeoSCRKG+JLqPb2ad
77sY8xf0siTBMAeDogc3/Y96ZBAVZjExI1zXcb8VuL8gPfkzrpBlwvkwTW6GWJnF30zHOHvDJgS2
egLsxiZWkiwdkEZny4TDk+8lxpl+dpAxAFQ2APHm03zXIScN0LddmeTEvCZhvjRbvPyieomdVNcv
uEkAccQ9WvdF0+feOSva+RCYXRrtq3Yy7vFGa3KvNwKrnudp7TnzTf+QTLZo10aSxPpd5GAAOFKJ
0uYdH6c9nGqzrOWNipLs7Tz9QAaPiCSPuhRLParcrYhBF3iVG/W3bTW1eys1GCTMM+qwta/ASLPl
YCBwqlAcDQVOqqsqJhEDTvs6HL1qWVd1u+7EFB25xVhXvj+X3SL2fO+1a4gEYffko7bD6j0vIdN0
l9CQr7DaXkCnvsc2VguQaASk2vKjbLMP2yvo0fussr5CFQfjDCi2CoZ9Pgu5aROtexlwGy16Q7DR
GpJOB3oxsEpH8Puoa8yvvWTw38fI7neNmRv7kGHklZYYiJX1GtVt1Y37uSyrraWgCjXzcbrFHKWA
i4qBZTIaWsTP/HHLlQ1Npxkaf+W22dHtvGIp/do5TVLO+8RiHRYZwDgtL9xyfeICEdD6m5MbQ1AC
HeTkyap0Pdzaoca8a96lOuYr4FBbXJ7woJssQdZJo9tY45MVkpiYDHO/4CTdFrq6xXOl4P47XCfm
iFEjZD/hpXJc1VwwsU+UxhlmSXIHoMq8zW07/4iFVR+yKsof455ET2SaX3PmOMdvD+u/oZX6Dy5I
rGT/cUH6fWSv2qWrLmr+5/wWNeWf1Sde5/f65P2C+AyLn2cIlzE8z//3+oRj0LSAz9ENCFNp437s
l+iV0Nzyf7jUth/rk/ULSQ/8GIOw36raX6hPqvr8NLt3SXmgRFoGrweCTXVTP3RLNTf8hn4tOIOC
XTTGMbJ+Q0L9QzymZf/ckSlOqWuqvYDNBMVx+aV+fo9ML4RXptN4Dat9z4PtbZjFxvXGycbTaKJ/
QYY8NVscr6CItRJAh878/85AHFzwSHn2yakdr6FD8atTV2suidAdA46TbWtiXFsNOQ4rUer4bjD2
rAvC6kr2oVm2hvVKGB7N2pb5g7EedFvf4sit1k0xxFvThvqR9/YldvJgS9SoWHUF294IRgrM2rqI
tW2ewdu8y+s5/MzovTbmr7RYF9HU2vuVIuul/K81qw9UzuE31Cz6b7CzZTVWNy0qEbJG583McGKh
jeGTWerHcAwh0jDqXXBX3pt9tQW1eTV0tr5wWu26C/svMjHvK6+5q2GAk/z0xZZZvnDtintpZF1x
710HVnUFax0yW5CA5oc+FIz2cVDDXJG5iz4ocMbRvgq2MXMxHWopnss4hkOfOkQ4FNW5JgVsBxmA
GbJ4C+1kQq6LqcDyrZlJlI54qUhXk+etp4IoYyBI2KEsQqTacZRb9JTzsZrKY+9r2zFLdi3BXdss
lfUqMmdGcyUoqOiUUXbWvkl2AzgIci3rvV9HtyFJXgRSynwVaAlIBCLKAqwMeTPW6zrM7oq6PYYm
KhfGY/b71Cc46BnvL1FlbMaSr+qoR2uL7pl+LF+hVt+PZXUaLNJCdPKL4Um7FGqWB4sglnfS4jpv
jhaQfqalzAI9pIu+RbGc2lNl9wwSPRIBUCNwFRYflt19hTPnkp9jZ0fTyzQuy4mMbsqcnQlBa5GE
NY6F1dG1g8dhumVH/85caj/bCA5056GlkpPQbC9cHGx+4jIA0q/wLd70OSYx9tdkHa0b6MWZDRSK
VICtS5jQqjL54GXu7BrRP+rKZFfKQPkQXriTnAoBsT2qx4NMxWXmRXs9P2VY62ZLR++ovRoNJC1t
3KMQuDJ9bec5X0b/pXDnA2hydyPjYF078oGJFrOC8a3nsO5atz1acJulMV0Cn8u+aSRorBLvGbPf
s4lnaVUP+pVnkUg9WGdCc6fMCpfhjKxLztWGCLt7d2werKQHbEWQgAyDi9WXxgINJ81vT3RFkeyl
I4AG9vqXUgvvXTd70MoCD8WwUXQNwxkPlacdxlEgH43tA23DNrUZyKHmW5mF3u2tzmpvrSE+8Psd
ZSxekJognjXTaEHsCttAs4yvAVslu1HLjOdicJ2nxi0gDY3T5LOm8ZPb0XcaNpGpjuDTr7GYtuGq
0hTyP0VJFbbkUVSGRsQ4j8VVX8rourNmUkTSuvdZIbJv5AlDfEf+uocsxK189222kemH0v6iNYa9
7hsbAArxlMiFe6SrXsOXmRFxT6TccXLB7weGvG2FABpYDdUq6EuX9U58BAZ/l5XJsIiHAmNT2eDZ
9CxmuuR/sJmsOlYuzshUyIWFcvLLkA97hg2Q2MWbFUBUtPGR8Mh5/I3kvQjKhM9xSrbBFFzFyP0X
U+LfAOB+60aPNSkO5BgjuK+JO1yez6ZZvpCfx5Uz3vVx++nUwzmVc8wELqRRGdJnI2ZhYTsvQGYY
VjeExen0Mf4QM1BrcjR0xDE0vlxNU4S3wlnHlfE1s9txW8JKj/P+uUcHK62WeJSoe2lanEY1f+Zk
ACTnPOp580V2YGv0AprSGN+N6XSVe8OurdD+aEP8GITTPhp4RMfx1PvZNsgIjBOpfdu28xkVyfMY
yusCT5Zr9Y+DygsdgI07ZBf1FjyUUcBKtjzsJ8kLY0ssTrHN+k6i9U0Z/bVutA+akS6VZKxlLO07
KI58gqlO45U791UfHVqTCLEmEs+cBDBeCligWOxBSLS7Ig4eJVOvhSnqnczMNeUG2SabpZzfPgud
K5JvSOgLDjr2EY/hlY9JpHSTM2qwXcJ0s4FYuciM5FVztZUcol1HJMui6vxX0SYHPutVxJwc477H
hmu6aZj6LWOrOcRC29XSfvFFSQoNHWbb3/kE6biunDdIuoiSjcILprlPX2CcmMiSEVZMauEcnTyZ
biu/us/yFnFjXuz6oK92rpepYA2V22cQhhK92H5xFDXzasMo2k2eCX1RWNZwEQbWPJdUG1YJ9VNO
INtGE+5ZoKflulxVCh0GYyscs4207fcoZaxJuK32NJQ23xeGFusJyeTCtKL064j8hv1gFpJ0Nhmn
IWz8zx8atX+Fgel5lgn9kC4EKQR+zJ9bED2RepblvnYdx6RqfEm8N0tu///e4m/ueRPfYjtBwsOW
iaUyzJ/yPMaXf/4ezNZ+6NZUJ6V+DVsBHtjgSPNvfg0DiySAMtYw7EQpjue5JYXgXtNW//xtGMb9
3dtImlZL0Z/VJO/nTyso4sl0kj44dwTUVJBqGpI4tOqhsy4Duxa7AZUi/zt51b8pTi3a4X/tTtG+
/s8yfa1fuTvkXEOn/df/+3/+eI3v9wmFGWHgwbRUMk5QpuE/7hMG/5eBehQNDiDSH3GjCntm2aYg
B/ebRYc/6ff5q819gtsHcQXCZHgK0uSv3Cf0v7PacF/B7IOIVUreTf0jfrxROHqgp2kti7PhAgrG
DKjIIIrcg7UEWVqg7wc/2aTmtM+znOkp/edz5jkHWoWN67V0YEjbGcjFUjvPGvp1AFns1Z3iKo0c
oGFR/WUSbNnZfazcRgkqtXbdT8n9r4Es7QxXCYFHXsTOzRhg21/Uc1yKNSEfZFS4khsCAoFrOJU9
2yer34Z+CJZBsjfKRUt0lO4hDK/RXQTEbZB4N/sFXYaQxa6zh2yl+fjzJ4iO04SKHuuZXIUjWbh9
Lx56vSUpdVoPRtsAtGIBjGSWVLhavhPDhoYl43UrD5UTsvVvMCaMNHn87iGKXU8+UZZdxpGbTrSS
ueXv05IwPFbq6yIHgCoKMz1KqQ1XBMZ5ytbHhr+OH5gpcByl6AXqID4jK11KJfUfZqQEdof+rMJb
kFQP6ppXVvqwYEd9ZY24M1H0KIhS3q1yLS1pHkS19JRINam6U1nGAFmnIt3MvYbAUh5kbhAc2996
COzV6S8X86DvHBNAJkKhr2wtT0E+X89G1kP4AtXZxfVT2mpLX+2IAVRfdaGLuAMlGXP3bqnNDCyK
xOesLTiWyjY2V6lh7+PWvkn8CW0Y4ZUrYw7WFZv8zaAV75WBhdsQDVwLjDuVti1EBoczOqMCOpom
R39mNUdUZuTQdM2liux24SZ8NIImbG1xJDZ0sk3cbavKPDkyBGXnFRo727hg8JOvklLb1rF2Scai
OaHwavnr0UZ2rn3L8XLiIqtyspCMWJnlLFmWlguzmKNFarUNMTwCIP9Abx80TJDJMejj/BRY/stU
9dMmRQwWcN1eyVZ8sSqmeWblkKkQr6aqtVduFNzgf7nSR0WKG8GYeV9reyi53zR8ho29D6pIX8y2
vGq75hwVTaXdFIWTzh/TmCY7J8sYapVfcBhVOLbAdyr2Wc5C8hC33nORiNtW1l/dcmIUx5Z0DjYB
RpuyGQ5eq21qYRyLNLyOiuIwxs11XqSXPqc/hlWLttbvhr3ty0/uOF1Mo2pa26jzHeaWeT8jzplP
QVWTZsoucYOkdVwMps37WtsyrbeDMzdrgCrYeMxLLZ8bTDnsPb2HHEM6nN5jbdQRrAwJe8tcBOV8
6WYDQByoLva0NxS7RQ1BxQDUSeMFRtuv/Asb7Ct2VNyIucQUXXTr6I7Srt/NmNRxbnBFCbHtLowa
cqeVEdrrBbq5gcUdbczE3oLjDnYVnQnNTeiSL4xHSOv45pACyaqGNPFFNmcXMmyfHCv/LGrxNXMN
yApF+mVmOCv1RHlbiDKUJnF3ovadhROXby5rkisIyyfSdCgTQlyyIuNhcCr9jFfkw5xZJRPk8dE1
wBYye7zFIFfuzbx/oQPeVJZ4miLnBAtg46k1ejbyvLhWY+FQCR5zNhNMAFFKuxNUM9R9ZX3xovQo
7HgzN2zkZeVfx9BUViQM78ji9g4Mgx9c6IG8c780PeteFwhdQom5fq70cl2O8biuNOM08hhcnMK7
lVOzI/AXx3faY34iS8coY30RFbiApdOu+F1pnBN0MR5hm2HFYrmdMH4TGLJm+/MZeO9R6dw2rXmb
8JlwDpAFF+Tpok3dC/L/jSCEjBKWWAsYbmAl5oEpbR9vw4pOOopTD780HFtejv1+tZISRL0MrsOY
2Sk3sf5oaXq+5g867aQx3o55utKzktVcESH9dvMdsULcu2lR9yMRkr7GDgYWERM1FljOi2jmiPRR
copGAG2BNW60sLozIhgQUGdAV9od+CYFSgia98SAJqw15paRKuuuqjoFDSQ5wyjvOjleWWgiUGpX
2w5+sEzKay5x6b7UBwI9x1uB7pPw04k+2DkWlbeDuTvch/PUbYbO+Eg8xOON49xwUcBpn7Ic/9ZP
/BvmsP/LyS4Wm55/3Fgxo1X9FHP4P2mn+Mkf2inJllCSI0EHxDT0p3bK1In8ZJ3suu43RPv39ZED
6g28mucRYMJ0Fr/Oj+0UqyWMhmrX84338hfaKUOy2fqhF+eViC5hf0XQBR25+qf83E55vlaQo+AS
rwdxcwOduQY0grkjHfPHqDbhaaicvsbAb5EmGOpJWNxXUv/sORgXRZYNBzLQTJzMCRoQ0e2CIlhD
kZHIQAsCAPMu3igDXOzEb4NfAz1TSYJoORQKknRBhzkYLPbJu4RV9iBrt15UgznxNSdTMYFcGrQA
D6JHYvTuOYbzs6P72rIY6TI6MCRrwaDukKXho29hWk0874bTeFzAM/zQtbrbBKRC3Oc8FTZPR1yO
00agCNOa8ZZGBcw0DxJj0uueJ4t551aqR63nmcuc+i5UD2E9FadGPZZBa24ToqpAvjTv6Etm3BBB
v3bU42zyXANwu8MZsQH2QHiDVS+auo72PbVA1xErD+Nw3avsNXcm6/db7RixJKtqMibQadJaeYbm
W/9bxVG1x1FVKI2Q6GQUJjDSB09VKoLH1jOlK1Y1LFLVjJK0HVR9q1Sl01TNIzEKbD1ZER3l0FR1
ERUudiQ1UKFkAkrFlvPVoJA6vFynKmukamyoN69hl1uYf6i/FoU4VhWZ6Ze+4C63QFOA8lDVbZsC
7lLIGaoXlyrTT5Wq8UJV+0jVfbapxnY2jHtLnQlJ761cDglCebwDvRDAHs4Pm4NEqBMFpvqGKMQj
yubLwJHTplgcOYIKdRbpMnr01OmUq3PKVyeWx9E1c4RN1fRkcKTRIrxY6ozLzP6WZmZe6Bx/vPOI
lzf96NXJiGsLbp8+XWJ1avocn546R3uzfiMX2lmA+jIAi+b2S6hlzrpykBCgPG5AFc0bmcAOgcCJ
lrXXnEMZFM3N2BSG8u0GAPTMstIWLChoftzh0KNUdH1nU5fjTq3sJ2ni4vLrZ89Cw2dNOem0JW+B
5xlI7K4eUGt1ko/YDXwivsL5wSwLfYEOf1iapXPnVvax1aePNKySFbOG29QPg6M99+s5g8CGUlf3
0OwmNuNdqHZf47n0oPE6X0cHUg+6OeK1ejK2Cr25aZGf8SCe/ITQAiZxJUowmloQ6cD5GfoXs6Kg
ud0CFgc/MZIHgE102sS6/5mW/iWtpw7ERyugyXYA1Dts+hgbjpWRi/Us7GoXdDO4lx7DXH4YYgPJ
hW88x/iXF2hI26vQ0sTJRL75IYSf3BfCKndp7zL509OQ6c6/63T6z90SWoxd/vHB88eWMHxt2j+7
zPPjP5w+5NLh2qJzFd43Zujvy0GTWBFu0jhFhaXgoL8vB7H2IBrn4FFHEHZSwQv+dpkHqWHQ8qIW
hX1u8eN/iScqFdLj59PHsjgAOcoYNhkOK8yfTx9DvXmZVin5Hg6KZQusr24NX9hWkXVQaecyZJZN
K3VKUmOkFgPYn/BtuzO4y350P+jKmTR691aSE4SpV+RwmF65aAgKL1xz56YdtB9/jYV8N3Btysjd
WAyMCsk7fG5kC99h4BbIaLYZ6TIdJNFt9+FgORggZrca8L1JLylt1rvNpi+YwNiYTQH7KMq6XVzW
OwSyx4bFB5TRzUzUKYY6IIOyJxW0eHCG/nowwo7dkhVtMXu8pjUcNCGeQJHLjeP7HVu8DMU16MMl
ShOsp3ZzAK/eb1y/hN/HksWM10kY38EkLTFDcivty/Em1xVYwS03g60AiPzjjiaEkuXsDjx8OYp1
atjZM9OvYCLK7WSgT41Ql7Lv8u/rtOBR7saVyAeNghGfEossqAjZAJSFMl2GpSOXzlhMVDd3DQTi
EMqWVdqQPnDB09jt57TAxU1IgMEid70D2jF41bI9eblxX3GbYyxzE42Rtu7UhoOh4lbM7qeuqY2b
kd+MIbMay/We41i/nRrEwIy8HRpnMyPy3ryfs+g5Id94SKnZkZsw+46ICie5Oq7EJ5RSewfi0VoZ
UTetoYIgQfPNm64NH8OYf39AxgQiODRiNpmjnc3Oo8xNa5014PDjBI57uhpQ2ltRg5Gs1ZmBRLyP
GJvF5Hs5XUv4hNv3dqyJMincErOSSQRpgFS8yiFwthNs1QG7/BKckse9ILG2WdGdi8JlyeDzd28Y
R+hjhV2nfNa76KqNo6s6IkdWC3Q2h2jpwYVBgvCayVjiqgXc2JZb3yyuEaqQySwd2hJk8UETXYu4
eK7iKtpUKUtBQuBXI3Yje+AfOigBr57ii9DFxTCaZSkHpS9BGxN0+yYvHzqt3xZNfgqLYmPZI0jL
LMLl3PTe2rIHbrFpyJhL9E/sLT6anlSAeNwOUTmxVsErltvFWUz8VpNzKaqhRXvd37lJumnJ4p6v
2/7ka9FmEt4+GPOzLvOL0fs7ljtnLFnA8qd+a6j2sCNNsivCmWELQzubHoYvaOQvbQ17W4WSush5
0TyT5RL3e8akCJdZJvrPMBmT1ZiZzppQHB7VpHkboWEPhQs0f+z2hVbB8+s8b6vnch/qbERmssy5
PE0momtcKFtWerSkI74ruCTDxtNc7ugsEIMxBPPrJzGgc+trJ9kadWHytTD7J9SX77Mz4HRp8GEH
5nCZOoZVaGbAiLd2u6Yc9eaSpRKRuqTctkdqj2LelNwtxwqyfJ61e5kTYA0MFkXRA5krLj4VTOnb
zpqwaA1VDoTCGet57Xa4idZurlnI83vDdHdETEzlojYxNV9jf5y6O09kens3eLVmHruxK46DzNPw
CdyO0Z+TttwVys9TxuQPFhYen0i5fSoQGzr2n0b5gNpkPFio8ze18gi5mn2UzhitGLFaADns96oA
nZG0Nng7TEaJBr4n7Flw62K2D6byIiW5i1xc+ZMmWbyUvvUaxrWxal2cNeZcfQIh5fYfKiiZcjoJ
5XmqWwzGEzaoqWxWY+TFGwZgeLzqG83vjplbvDCD+Zw1kwZZmZwYnTKekemyMccDWzkpgO55Tvka
EYON7B2WmQGBg0EzHVs73AkjvvYxcWnx9JyGxues4+5qAvmZ9NkXZJUrbT4YygJmSTbleMISNSYW
IazCkYzyYxo6J5GkYuXhIxvwk4XfjGXKYlZF2CL4Ml7bjqIhSo/bBo40hufGasD7gpS0O81iOnpy
VG6fuNw5OXOvhkX61lQ2txJfvqOMbzMzIWQB2n2brGYZPBrKIudaMXp3jXuTm3gDb17jP8JTZ84e
6QCQFVYm8RiESmO9y8ZyWGOrvypdTP0ID0Dx6845GvIT0wa4BMT6eIgTmqyh/2pfbW+Y1iB37ibl
90OHm0Ic4gCRcffgK1dgN+SPTMIPsZbwb8Q42CkHIU+dxXcAozXaRm1ZYzTE1/lAgd6IMr1KsrBd
GIG5M7EmsrXcahFeRcJ49tzZLj2hDp4s3iLlauTyem0Jdv/K7wj60SedRK9h/db7QOs5Elo8VIaE
UBVimfTkpAQl+TJ2jWrbyGhYRlZzTjBa0olscqP90mfkGCSwvi3lyZw6a1wnyqcJ96JiKklMN3gd
fJrKz2kn/ZZwcX2L8cTdt3ygSySSZ1EqBxSG0C7nulfZzK2wiqZ5IRCgcAgqF6kWzcFWG3RS0D17
OQ30zzVP2jHQjYutfKhagyayzUW2n5VLtQfEgk5AOVcdc29Z0SXs4i+aKNhX5oz8KXIUOCwRc2bw
SEj3YiD1I70CYKSNTTYvgkfCg2EGOO8zNtrRFpuygR6V4LANSnvV4rn1s/JJFO7OtOq7AU+uGWvo
KDDpijQ8Grh2A0SVnWN8eAkqTVy9wH8h/7XiLleG31yTcAjr8L+Dn9+2Yf9UNvxH/x01REwV3Z/M
f3iBHzpwC8mazoznO5Tlhw4cowLqO5v92K9Dnu/meiL/iAmVgsaNuRGi/x87cMx+yg9PoVULOuev
rNMgwPxdB85QygHsZpj081j8f+7AdbYYXVLbxWWsBU9aj7XOwlyJ6GfYhQ4lqZ9AnsC6EGd+CXEU
aUZ3aUdOsof9UjxFmd+cmHExZDTN6i6mguzk2DXXQ+KXX8sWNYWjTIdh6kyMKghBXZaeNjAxohu8
NHXWnqs4tp41Ybcb3Yc1s+SRSldz7ufXCWEn0OYwf46pPAc6eigjCIftjNT5AX+lfE57BjWDIbtT
24QOKUQ54nin05KNLkGumJ1oF6HZGB+F7NInKdJ8F0hifPLSb1570DvrULiw1Gtv2DrxUB/RxpU3
g3LAdrjzmeCXq37QLZAjGrHv7wXJGtZRx+45jRuUR90WHVWnfViBF4fXIWi2il62yeuzE9I3OoE+
hndh7FHuhw7j00w1coZrrKTYW0VgMS0CGYacKF+kfTkgz6CdiI62ltM3o42e3uLeqDIgTh7aaH98
tofUfMVZIgvUfna+YZIsD1MH0qUdivlVLU1ZThIQD0QNlFMUQGrzyz5445sULUU+z69+E84fdjQ+
4ebc5EF00BwGNplOczNI7NhaOeADdPVu2iaoiqh97XSVFCOxMq2XMFzLChRr0RBEmyZrTTaOfUaH
nVSPlhMxT/P0B5NKvSs1lAqhGPqFdOsWYF9j37lhme1bjcCIUlT2NbJtscoM3JVM8CXW3UZktKGp
96Y5g3YwUxwR5ZidkYZrq7rtyVnRGN6th7Sq2tXoR2QnaUWzn0o/v+Ua3NAwzPZLQAFczR6WtJH+
7sqJMbs2dIrPug+DZZiVnCiZi+e5G7UjX17yYJx8OMdB7T8RGj085Moz2RVjdKdFY3kJldsyx3+U
rnIM7A2KGrJke0wjLTdH2ayCmqNiGRCPtDN66rDN2io1D844mDeMVF2IW4Wtf5TKoVpF5Bh5FPkF
2S/y3zbv+N8+jUdR8K8MRQrmeH82FOHHfy/JBrJoB4QWOqXfUlN/KMmoXpjVY+z6dbzxnXdiEqgq
CTzz0Dco6YH1g8LB/YWMOIPXUlms0Lr+UlI0vfxPJdmVQkAtZS7jQk4hwNVQJfsHzTQr37RMRCzO
qI3QHkqXrbNp2t17HXfr3uIJFComUPNZO8a698VveyC8KkxQSuetzdI7R8UMIuVYdW1L8CAJhJ0m
9g2JhImKJqwhGzLvRShm48pNTP0F82mwJYijOWbV/2PvPJrbuNa8/1Vcd9+szmFxp2qQCeYgkdSm
CyKpzjn3p39/h8EWSUjXHnCBqXfghW2ROgBOn/CEfygOi5YNMQZnWi0dJtgf4gw0UYQfYiOcEduB
+NCq7FWKFMDIkWWhuFl3ZjbNpPE8Ev6K9GgvVa3GbQ3nRSNKMYGTFBRWYPEKd0a3DbECxbDRc80j
yJ8xTo5IX0DWMMLLSpg8lgX81cQ4SmTsH0MklgZhCCnn+hlKBfoEIZuj0cgp2zdHduU+5E53FKjm
N1WYS+o9Zk9e6gLXJV6jAXBHsXFeCUtKivlCp8uejVX5NcC10qPWg2K7VkxpLH7pcbZsBBsjQ0EK
dvjJIMwvFb6DixtmMOabSthjti5U7W7AMtMX5pkpLpqusNMswZ1yEJ1VTfcNdKJg+KrHvV0s6ycr
TgBikxaKi40ceOEaZ5EKyMPAv7MRRp7D6HwNTWeBAvEJemNLWVh+Vnh/golDHxU3UBtX0A4k8LzD
JzTw0cfmZgjJnqOvhTATjaL61hi7IzTTSmCT+I3iO6oqmoe+Mv0DX/dnKd6k1CbqqYJbaeU61Nbw
L1XxMZWFoSmxsbPuzCafw8t7SD3rynOHJRKm/ZwO83rIVGXSaNJjr+dHI3ePGdY3/NkqzWiU6K1N
j1sF/eiH9TlVpfjY6ZNr8zhTopgUjniXIuMMxVKfhKP6gZL6KrTKpdkSttdN6S34xROlKeZ51pCi
RejWtFJ1pbTlMjSiO31Q6K9Dmcttg5Kb5Uxr6NSzNE0umtAfFpiyLfR6jKcjrL5BGOgBdbPRSClP
cieuEDV04SYN2lL1sqPI0BexA8cmQhlHj7p16NchjOvhtIRFI+vuUU2jC/B3YA33Der4N35aC46h
A/LdRH3zUs1RJvUmdplIF3LuFJeoOBKFK32wqDV5AVob+QrV/RF5/aNrODLKrlQo5cJaW2n/tTLL
73VErJBn2YXlOUvJjy4UmlFgl40p9ddZ3kN21KwWYTe5XNhGfaposc6XA/ZuUazX+nCV1b0Ow5mQ
zYmtcRq2FfQldKxrDBI1c9j0Jpjvvv+G9vVcdoYvPGhAlaF0OATScVr4Sz+SDlMwK6Zw3Q3jmSO5
K7jji8hGmLVHj37Qx7WW1zdKUQJDhgahQsVu0QmgIMe9GuAjhE2JkPRfdlRxkjzhgXyt8Rgf+mbR
2Bg1JQ32wEj2RKk1GxKUDQLnNglDMDmlDwzawXyyCKBsJOgtocG6IiI4pap2X3WY0tTDdOgthDp1
Z4a73QmacYddSciRqEiwomzJszUAGjerpirvm7I9o7szq0L9GkUQCgcDRigRbATdQMY7whBXpsZa
9IqzQEjsymjcx8KsWJ0tQQlsz2lltSvFI6mVCsitWnLuyuBcfKDQyKfYE7hpU19vTjorPUJgivQu
Qt7Zs+9iTag72CtaZ1Sp5aVjNfjetDeymh+6NP+h/FrzKIw5//pUmuRmdqk1Tj0NxvJMlz0khsOV
MJzLg/bUNcdrijGAxesLV23WZdGCvzbQTnaG2TiqC9Ms55qkHFKwaWcVgrKcwtrCMeojwruFTZg6
dWinFLn8PXYBU9dq803D5xGxBUM7BDd7rgizQc+7UEb72LGxTxhHynjm2K1lM0J9jS5VlHvhPJEC
YUhpNIjx9udaLC2ieDhXHfsHEq+U6/JZRTGsKm2JghMU4Q4m4FDn57Vlf+mFqFJi4CDZJ4Yz70M1
vo3QyJ55efsjrBpIKvLXuElBY2XHvoOEKnjgS2A5VHXLH2hwzZtGyU/9vl8U4fglUlS4C230lRN4
XqXGRSm5WFXLzp1kljd90R91iU/lv0ksemb2tFZIjTH683sSh8470muBE9MHNB3olVEvLgZ9hSZs
9LWNpY62GlXzhTTW3dTu7XksB4fUzMGSdck4w2LkQW+1Zja0GfIzpbJxxvFMKcFiEy546C0pCwp5
IfaSeE/UmKM4dXQC6JjjcugxL8nQeAnV8wwrBzoV6BkiLdL71b1BKamWBX5mOKtM+IAq51dpoRwC
deVLP0hf8z67jgMwKag0zPIYeJY9dGdtBIdRH+2rMc2BtDVhc1FSYp4bdFFWeiojrwd6D2U/BVnO
Z97dL/lW6luQMIgBy4SFABMG/hhpIy2gN+EJ3G5FHxzNOVOuksmtsWjPiykwo6mzub6sTsDFz7Np
vQqOjWU381fZwl8beHae+MvP6uz9L490DVLwvxHpXjdgeR8/Fh/EX3+NdCEog0aH+0d0ihafRqT5
GukqKODTw7Ppjgl+skCYvIJPzAMiWYjLEJhfO4OvWF7jgCYdTx+0io7tEHWJfwI+sd+3/3hjihsy
n4ESB5Hzu6UE304uUjonpzi3BBNOjG/kUb6IZDBTa+GGlbFoqATTIXNPgtLuZobSoSadtudJlR1a
oFcmFRkzB3gxw3HtiOLbyWBBbiAQuZLl6KGlCI0TZotUj9QlSE+pJ6hewy2RTW+aVAL2It90pIxq
pd86BfLqtu/oC1ccxo40LmJdkuCZ+QiaQ3VGKhqDzzz8Cpr3Wz5kX1ofzlpWVzl2ZibGevVhCm6m
dqQbN4XtBkxf04KTNvKP6yz4VmU2UmKOdU5lH+8az54nfDHwFHBx4T+sGyW7SwZ5QJRAo4FZU+Er
4g7SRPdlUPNy7tXdQtdHcIoh9iF6F8QotNsPhY9zqh2bx1UdX3fIBk5tz5gbkX2JNeADKM/zAFsg
rAeQdZO9sJ67HRWIvL3FRO3erbM7t1DPuEfuyW+I8aPSmzdpB0vMSs4pwKyEU4Eeet9iFVpSHtv5
rMPIiLA5u+8Uh7op2qPJgIR+rmrjbNATZ0FyUU6pXh3XVYSbn3uM3tZsDPISfaZuIZfd2nOclQdb
aRhbFN3DRysprzUIftj93ibeiB2rKJPwkBy5NCZdR7ynygjgqX1hXphtdeI7/Y84dLIZNCNQuq48
bUrSCsxYb3TPuNTrAb50EF3rnvqjUc2WoEf8dQNtNFQhbhNihirjxjANc9HUcK9wNgmXphnfZTry
bWregKwwZGwZrHhaQK2ZyLo0McdoIVs5jChbXha1zxUUwcVqcp4asMNuqhomwpK0EwsocWZQVUu3
Qq4JRao1Uo/erAxd0E3deGnFHJCpsWgKveAsd4V4IFhuue4548cq5FhnxRmUQab2yCIeKp5hoube
vCvHK3ikvGtqk0K1C1durkZbWwcdHV5LRSq9KlyupRi4Dyy8e+LBWxuRUDjd+XdZyRBVz1zsVXpA
tHKwIl8AUiX5KxnToZlkRelUlrOlSRyjyEEzhYvqrNBXHiZaaz8mYXFMSwJfwSrM58hDHpreMMzU
BjQXQj1YDhlrV6BtWY3JBGG371XjoD5YYnKpjyBvUfNUj/Q0Smc9ZBrvMFYdX5tFUXej2lHZzkup
8oOvTINbn6m15XVzMzC0hYnVX3ptoRmXzWB6jYgWlXHlT5E1sc7h1gfm+VBAR9KK3rsLyGGqmCU0
EYT207wi/gerPrU7kmeuI99yvCu/kAUz0+gvoMpiqVEE6PlarYYzAl4Gs942q+KwsWR4lkUAh2gK
fC7GJWbAn7OLQUabfYFqgabeRp0sY9CT5g3nTOwD6TKte9lr8BqLUOrD8gJUkyNccXSjmKPEaXnX
cm3F1Z3qth5dIG1UIQvKiel+gwjq6yeySmIxwe6wyf+vbP9ctjeok/ytexMdqyTddnMywJ83p3Mg
cDOIQagKUZiAwLzenKp8AFpFMS0ITO9uTvtAF9UjWcEXgV8RcrmvN6d1YPIH3J6OYj4V8P/JzWm+
g20+1YhkgJumotIH0J5gpT/XiBTMKRIJ+OXZaPhrTQEs1uLo0bOpxjTMFq1BIw/vmRM9jxFV1PSV
3CjLIK/P/IaUD0YAXtagSCTBHF53Vb6JGv3OrSCqpPVJPyrHnqOvRt8suWGyYepb3l01xBe0u6K5
mSQbqmDmVMcUZeLGLNGRDXGUDMC444jbwk5q2ouaf9Q0mX2ckkfZvigCiDrvSDmldKLvJl0pzVXO
fdqbeWkQajvhbae0AgtgntkIUXKmgPyIsI8/A8PxYGYZECGa9linWyiAtpFySN/wuK6tQ81NrlH6
fCRfPal0R+Q91x3ROmhJb5mZzZFpcGBkrXlmZNY6rmF4O77xRYPahhDSt843F1XLiVoqcOY7xz7X
nfII74+zsItOwy5c5JLigtEDZIlCClC1UrpxBNkmG/OZbITHfon1zpgP0LkjggADn70kGlH0NZ1k
IYXOt57L1GibYx3gzGleXEC2WSTUkQYLiXKDuo/WXw4KSV4YgjEixdAUuEKxdNvq7g1tooXZILXq
tJ2x4hD6HgzNl1yStVkyQrNW+vB0aJm6Imou5N4lSYnM5GuhHwLTtGsYqB4E9cJqTz3ZXrgUkMCU
mt10aNorH1MK/hvhfDLhWV2kXxs+hot52TQKEAzUu2xpBDJzYytT5AIhv/AcwhBvwVC241k22PRj
B+0ysEEldO6DXnA9BqZ5rWfmpaRa+LjV5rGDhSHSxBbc7pyeZFD6lxKFMwMGx7GRUajri/DadtN7
m6Z96ibg1aOHMC2/eg6hGMrUHaiVyFzlrtLhqs516WLVPAX0tNB0AV+1KDviYrzIg4bSf7IyxohC
TruKVOwz0qanHw78xzaMfKabVAi5xW8znHgcyi7HvsFsFzHipKCGkDPvlQqgF3BlCfDaZOzh96P1
lJ8A9oXfHqFq2qD+KSPHlwVUNiFi2LOkSZtJXMJnzfr4GFAQ9Y/qNjCtY0M3LtM2C6ZWgMCMpIzj
MklRG03xHVo4A/p7gGy/5WlxZbc8eKPzZoMxnsqNi7ugpMy01rh0cvuy6dxVp9G7Vlz30CL0mxgs
elQb7EU/kt+XOPXQn48q0lbCsbAokU8chw0sNTxhKvjhMTM6qbE3q1tpJkcmOtEUypQYghNZwjKA
WjUfoku471hYIivsjRspGjZ1a157fXsdxXAfevs8UqGpgJZAtVSFu6sF0lcaRchqws0Wpm/+0Jpr
KgKEhCJwoqaKQqo0bHiuw1qvDDQ0coAGiHrMVEl/VPsKU2jppJfrdB7YQzqXh3ED62k15LUxxc57
4HGhVEaTxZoMJWQvteiuEqvLcKislaWreoSHGpKvXYtZaNewAvnzH2pMzDQYsTvBTMlCc0K6RCH6
sUpYErqZBGBfrS95WZxWMQQbVcGfOpfPLKlbVCG6rZIa63MiYUouSrjw5bE8dhUEP1Kdp82MH2Ga
hTRzympq6vROx39ggXIvSLnAdqZti6ZOPHgrF+DVKlMwpjYDXL04GtH6XBRIDEx9rvqx9s8qYRhI
0g1+MdCusMzogKODq67kZVjq1/nIWZkpV4pXqNNsBCQvZ9bG8/J1bvprlS836wIZt3C5+SKZozJ1
MRrH4Ar4TmmwqKPKvWvN8a6s0TSudG/lxRIGeEozTzjg4HU3V7mtJFjc8Hw1CRojWuDTDgSv8E76
TjOMowLTPd8546BbArSA06RX1wgIfY3U+qYsbMoQUXOjO6O8UtROmcmy6h8RxlLAtH1jOvgEg5lH
QzBWtMOyCq9SU1si0ET8Hil3XQTux4nDhYGlJ0JK1BS13CTCU7+25kVXrUf3tkOZ3NcuULie0Mf+
ioTnlwCxEFNJ66WZZtiMosSex0q1kkPzUeGgnyu9c94GJlsbKfiVZIDCscwxmMdW0EwCXZ/hz3Rc
5fFl66grC7k9clBsewblik7ekZ8NIw3U5saqgSbJRb0u6tPWBP9nNMHEo46mAzKbxXi4L1XcRacw
+W6UYVzCTw2PkbFWUGUpT5zBkhawA6OFVvfhZESufVLlaPwabjLvcm+NuJg0rbCuBLaeeYg7D42m
roBkPtpB4p90aU1LHjqbYd2EGVBKTCsEOaoYh1MF5eOpX/GcrQFQpGfXRJcA3Ti/1m49UqOBhnEm
j9K4cpFFOGwt/5QisG1vQKENy7GHPevn2PFyeYQ0mL1FYignam4cchqtTTLvyNbhxtUIREiljuGn
lXNCtAXi5pW0QuLzVNcrb5X68qM2yI+w475z5QCb9XvcShHmtWHeRzJfnc9YaUo2w00bVSzsuw3P
X5LSUZ90KaQjEXYLm79dDgou4l3hzwulyuBA4aHZSqI3YR55THb+HeihoruXQH5WktSpp0FJlp0D
wQqaRJmC5frC9HOLK/EjvLN1q3rWIi/6i7Iyl6FdgYWn2bsg7yenKmXhnEJ5Vym627TGeLSPrwx9
mJmx8SVxClKKEGXqMTrsdHNRBjAW2SdAvPqFUufXVqbfc7ie106XTmOfJRCYxSXEkwUHHAZLuoB0
KVAdfVil1kinxKyplofJmQUNdhK5foPNRzTMy75mPXQkyb45YmJmVmCWEfbKTVxXgkzdjBiLwPwE
pIDg2wSpt1OC3NuyzI97K7amWSLNFXxOsPa842pBNFu9pG58xM5dWaopQ6rxv+Sw98AwxiedwlUb
KceBWx+5cXZj5MotpGnhG2bdVGp/kpEGTbsA1EIoYc3qGN5X6hLpVJHiwzFYl3p5guj1Iu9UdKUD
+8I3cu5oyfzS5O3J2ONKkwbfY91AggO5oEobjgFrN6uhHBCx7c2TRLFBsCYchBLdFiNAgdzQV1Gm
HnfyeNSUmjb1DLqe5mjehF2SnGvU4WcoiEvIdQA5xAoOnpxIKzs0BiZIFw3TvLJ0gOHlqsKId1bK
4XerI4ax++bcyuHWOSWWip5TVcdJUaL+qnW0Hi2M+eBcRDEaQw76vsScbs3mMmJ71K/NWlqDdEmW
pp8dOkRbaGXmGq5dIzY/wf917l/yMpQqfp2XfUWLoNmmSSBsPv7MxmyyJ1UFYCErqB79bE/yVMcU
chUGgrH07JEDeK1j6gcOmRiddN15asz/BaLStAMuc5UUTpMt5YmV9w/qmKJK+UbjTDiJQmnDGV2h
k6e/UyToZcQ+yzKliikKdmx52Jug1pPnBfLLwrvypIvx7o0g/uk62hyyqsr6u3KpAmOuMEM9JzI0
nC+RX2Dql+BBOa5soA6ABOq00Q9RexmvoLECijcV/Sa0yd3yLLTXmEc6R4olsDpWafTn6EpfakNG
lmQOHr6GbRRW2reWApsNRahoW0g/dFhbHZ89M5Lisy6MK2Ue5HmmzhEEbyBuSYg6YSvpIgIdDc5c
YBXkWZXeG7He4Syex2d6A3R0quR0jhaZ22u4OjWoCaCQNrGCLtPO5FYxouM2Ds/KGomiJEcE0XfO
NUV+NKr8IeVSAhZ0bSEfg23y0pDMjHuDb4ELKf0Xd+EkwLuTQ3cYipkWJYHo0Mziofjh4zqIpPqp
ouY/Gq29wuqLGxdJgzsrAvHkoBFwIll5CRPeMNdx4NBNTGDXjWpFuCppP/Swgqvl+uj11kUuXKtR
Xo0lAziWfUKT8rRKERAYVbsl5BvVZZ1aXwZFuo1VwBhZ6NMWr2tPteiaI9fqIcMzB/WBz6ouhoCl
rERm+aXUa+R9TTv1L7FchjNhKeXc6WXUGEFGMItI40yqCFlzXSoB5sMSLJCEXPuSopz+tPfOn9fS
H2mTnGfYT1T//pcqVGTeLTFBCEKzjw6A6Bq8be4UQ1l4Xm+Xp1xAG/gBytV4ZU1oJtLSSVdgXWFA
z4H0zcs5N/haX2hzePTT6D+s9ScHub8+B8xXDelUiiVUPmhCcJ+9/RxGX3aNV/nZKaH9GqPRfhp5
hUteQzRiW5EzL1oXGL9qUmh0bfnEs0p3rfCMzKiAQ2INpw6aoRNbHb/VfeYsKhVRjLrOF649frMM
16A6gtC/O/Y3RQxqXy0LbKcqBCL6zgW+7INpx7d7Dp1o2SngbNyRINJ24b86q1ED86uqSx3joklR
41EbOGA0knSFOcAsA6Y7yeR83nXesQrRkAwBlifeYpMkCdHtwLWu6x1tWXiiC655X7wuWwEIPiG1
ksk486UcsdAsp4CRIIdXv3/E4JR+esJPnGJSOQhXukP9SHPeHSLOCJQwT9zyVG6TcMlBgIhKyd2O
IfEcp3esVQtv8/u3fEIsvXma4Jl+fs93T1PqQWm2kVedFp52h3bptAdTAQjHWulJc5IVLqB/k2qK
VRRTI0Z4HsOO4Xgs8eKDNXqcBfatHICehNr5gxoq4VxxombmheyO94ZXfEu6oJgVyGn/f6AxKkqF
v75u/0Qv34Hu39I85C+/XroIAbH3UBRVkPB0dFFe/bMEil0YFxDEQYvHyn/+denaB+CWdYiBNIdR
eXgLk9MUDc4h5UqYfjQR/0kJFD78m4Us+tBQ16m3gp62VIiMfIifS6B1CUo3VsP+DJAxkAo87yy3
vK5VRJBDlZbUiJ3uddAqMV2EJLmqhG2eJCtARUZXmSrIIniOcNcrdO0UcWV5Tr8CrooVIqABFLYW
tnx+0X53mg5LvQHYAX4y/blD2j0Fy2VNncbNrnU8/kqZun+N61+LNvdZ4hVkHx2WgCBJ0mVjqNrc
azEMrBTlS4Iy2SoGLoJbMcbGRnOIUC82gNgN9jrCjSbHxFkszAgJdb4BisbtBZ/CVBgWFpTiTnxh
Ykhmh7qNUAtWmIKzQLFdnPJqZwVuRMAdVLClCTWwLrecWexpGCSk6AvDYLvNECknnQyhBTTJcVOA
8XVAyBHf4ArYoNSOk4jh52u50eeR5clz1WvXUSmhIWh/ZTZPsozqoVxzJVFXxXA78r8ZrQ7WCKng
rMtuvCK6EZSJee573cT1gqtaB2IDeAQjnBQFFdPDTXLkNpfM5FHzMKjoU3NtlqRINUY8ZBthuKgl
A4tzt0NA1RjveNDh1DHzq0xyT3VA0Ta1IU2Ypuu59uAO1TlkufYYihWE/Rr/y6KzT6F9IFfgjqdG
xiOt835WDN15lGjfVa28GbvoXnJzTmof6+G4PzM7zOIs6lUIMwHQJbM8NAA/TGNcK2ELOmfwZeup
mgjUCKC2PgHtZmmYsyn+Xe6NF7quw07E+VrqRwmFg8jBcBFlEBMbePuM5DjUvgtQxXBo0RSdWzC4
kXoaE6p2JQbSBn5OWPs+SsDYgsaGwi8NIHK4B1wnNE7ohq9btKkmloHxhpoox/iGh2DGSatdWeFW
NuxgORjR3C4UG2X4kQTQMNppa5eI03gRykaU3ND7H+YBhLJ5FjoLGuQ0MqORSSaEO5SGChFwAyxY
xwafyqxUzcsv4zRFfSrQD3vbobKIjO116rvVxNX1lZKl0HKNkFjOMfF7c/Ft0eUU9Wn3ccAyLcD4
7TAyjOuydtH0T+upFWlTy3JOqQLGJNUGoLGukVGAMQ8lu9TPqLVkQM/KeoqdJWKspX7VRlk2dWvj
WA66fOogITCVJWNdgtBfK0N2VOixclhk1MC82oGSeVsp7pnUeQuA3v2CNjlU4jIAlJOUy2qI8gn+
fjO7iL/7sbGws5ytzjbJc6tnYpNvuV+te6vLDyPJsmdAbpQzH4go/WGICNTVvDX1P6RNbfe0LbCN
CR0TXKEzTmKsaWmRAvN0oegOSoW4EKIK62IYbbCAqruihkSOWmX6cvBcZyZLRXWYF+mR5wMPG7xG
W8NlHdEnVaSlnhVoDRf5hSk55WKMhrUke7cYhmnnakiqz+kHkzXA0c5HgEkCEOD1njs3w/yusELv
R5Wi1uSzjS+sMHwcw5HKAxD2unwO1f4X6L+8fMTZpt7MnwTtLprHcrh8rOgBV6/5nPjpU7R7nf3P
fun3A71I6V0P+eO//7V5QIFkFlR1GdzXP1+uBiCbd7fy02d6+sC/GyLeINTXPDC2hiSMoWNirjjy
04vIHLN47+XHhPrOAf1KUlDu66fX0xv+NEe/moXff8Hn6fz97/z6G3Ank9+/0RoUhilv4pO/MxOM
89NU2AK/Twpsk728mQNas3RlqRMgeC5ez2+1b3MgZDZ3ngMLwxsd1QYi+KcXYf7bqUCrkQa1JQhd
TPe+zQGRJWCwndcBsZ8BGlHMKC8wbG/mgC1BFomEksVC2c9JIKjeeRIAKqjUuQDsiZfYKj+fCwKu
YEMmhN63p5Og89x2nATQFZhCsRbwOtg6CQqESpRLNZKOPV0Jz/v0uRr456X1Hy6It8ciiE6Fx0zS
tX07iISOK0RR1P08F0WlZ+eV4CBRy2LnUPjFShDUWpukUVRP9/NMeJ/A/08uSCp4DqxitPvF6/3B
qKp4rOmw35S93Q7Ph9UO2wEVI0sUMVUxE+L14YbUWSq6xg25r1ek0Dbe+WDEywUjHvklTNiyEgCq
AecWa2Q/twPPbcdJsA8s5KepszwvBBF9vb8i2Sh4Dhrm06Gxr8ejunvIZAmdbsoWQBpfv+qbqSBk
ckyEIFULaL547euqeF6uO5wPGjQHUJwGla3nb/p+VYjoEesi1Dv39aZQdk+l1AMKpzR7qNU+vYhH
364H4wAheCaJfEu89nVryLsflYRPlLQVR+XqeTMH4raERkN4ubcXxc4HA8J+kHoUnab4+2+PHyuy
/agavdyje3oiCKPYHe8JMN+6wlp3fpVKEUCDM7IxOtjTSVB2zyKwa5BVdoL1kkV8OBZtdoNjmkAK
9nQSPhAB/nkALXhzAlmv/6LYRlKN5ZyCrua+roQPLMJ/PgnmgYa9MYHCLyaBCxKqr839uK+ToOx8
JnAuciQg+/ESLwkiyNvLgfKKUAUhhN7T7aA8P51dQiXjQLOeCgvPQYCIAt5MAitBJJyYu+ztJOxe
WWA7UGRTAXX8Ml40+RnVlb2dhN1TKf0A3W4kKF8n4X0+qdgHosyGSM7zHbqv8eJLTL/LpmDNEzaT
J/2q5qgeQJVWkDd+PoX2rwT/Uv3ZZRJM0kVkiMgon9KDDycDFyU0NXLOl1rG/k3CSzF0l0kQcSNn
gmW9JFHvj0cVuCmIKzy/9/VkeCmB7TIJ1gHYHseEbPR8PL4/GVgJSF05HAz6XmeSAvK4Wx4hcimu
CqpuMD3Fi6f+5rokoXQo0wPj3dfj8SWs3WE9UH4leBbKDi+T8CGvlA8MoKZ41u9r9CjAsbutBETj
cFwhsX7ZEx9WggihVRsBzpf6xR4ej7t3I8wD03qG2j/fER9CaAVCtUlSvbe9alEU2X0lQBPQiQ5/
MQn060kjZCqze5pHvMT2O5wJGqvdhAOPTeQvJoE2rUJnDmjyvk7C7nVnjZIrvQbkgJ9vh/cXJaI9
WGzIAKb39nbYvdiKmiaYcKbhpbaw5UygAkVVWn2epOd33L/jUTia7Hgy0HHRTIvu1Esf4kO0IBMt
CJ0mbV/7EEJXasdJ0Ci4yUivvhQYPuQRbAoYIbg+W3u7EnYvvdpIcoFo0oHrPL0+rAQRU4l/qMWI
176eD8I3esf1QBXagH1Eavnn/n8bQjMVMgh8ZW9RTdru0SOdF6AqECleKgzvD0k2BUVqfJ32dk/s
HjzSoERvzqBJ+S6J4svjs24zOy9LZE8jBm332NGiNycjBk2i8Px6NxXkk7oqQ0DV9nYhPBc+dokd
acmwDnRM438ZO6oO1VnHeQ4u9/VwFIyoHQ9HITOFMTtg719MxdOmMXXKbvu6KXYPow3yJRXRHW7L
pxfP++0NQWOGaAK0475uig8+f/+4RUelCWwzpyDE+KcXMcjbSUDqHgFQ7P32NaF6ObJ2OxlY6HCG
Xi+CD2ETqbWKKK2j7+2ZsHsWoYsrQOD4fo1mwrVRE9oBr3cIp9D+JVQvz2i39SAaULRlflWJVg5E
15oyw74mVB+sp//xyQC6DeAn2rqv5df34RMxAwQazs69LbXouwfQQLpMGaAGNqZPr/cBND0Jfsi2
EYKKvPb2fNg5jhZoaE1IlLzyhbgU398UWICbWE49J297eDLsHkiLcjw1JyH78vq8308C8i0shr3N
KoW4zI7RI91KtHRgDL3cFB9OBsrxYpr2twhr7HxdEjiBaDXBMvziuuR4hEpDdUHgn3jt68kgVJJ2
XA/QIDgCNflXZJEnmBeVWFN+Dtr372T4IHnxz69LBKYsEI/0X96fixycFnAWMLB/P5f6G1P0J0F5
6gfxwxM1GYPdbQzmX/3CKyf3489/4tw+MY/f/KagKj+/+TMzV/z/f71hLqtPYeFPP30NE5/e6eXv
v3zFj2/+5s1ev9frH66Cx3JT3vvD0w+Glw96uklgOP93zL8eNu8Zw6JL8vpnW2jWP1ddfz96HmwT
fRY01L++6jsO998ePNk8ZOXrQIcP//4XXT7cEMWxsfPgE0y6Hl/H+WlsPtzOY0838ablkVSvY/00
PnHA7uOjtV19eKRMDMfWJwye1uXmj2lW1dvegp2881vMHuM/TrNy6/wTjuw8/jz+Y5aVLJ7XsX6a
f9LYncdflI9Vum1wjvKdB1/Gj2n6Os5PH/wztuuqSb5n8UP9cXjlMzbsYZI/lsEm3jL8Z2zZw3TY
MukCnL/zpB89llvmXGBodh86SL0tB4HyGXv1eBNtOcMECnPnj328qarHbXPyGRv0OKv++O/Ue4wf
t83MZ2zRk80DB/DrPPy1jQQ4c+e5OdmUwbap+YwtKsZGUnnLRxc8xd0/+mP6kN0H204vAdn8hPHL
+8eH14H+mncBhdx98IzP/jrOT2N/xjY9weJ0y9CfsUsZun4sH4ctw3/GTj3d5NtWy2fs09PHdvMx
dsSl/jO26Fm54QjYMimfsUXP483945bYUbQtdl6H56hAbwvuBGxl58EvA0LHKnjYMjMCEbLz+Feb
+5KUIK23LHftM3bp1Sb9Y/KI8dG2N/iMrfr8BmW6KR+2HmQCI/AJ05T+MQsevW1f4jN2rfgSC3bA
fVDdb3uPz9i+4j3W2aZott1W2mfsYfEOx01Q/XH2Pajybd/jMzazeJeTTf24bfzP2M+MX2/+mGzK
75ttMYP+Gdv6+T2muAtuOaxFe+YzVizfYlo24+tgf12RovWx+xv4m605oei47j44NYytU/Mpmzmo
omDImtfP+dPEfMpezuLNtuhB1Lt3n5jfea8/qcDtUL+5qjeIUMabpnr9pD9NzadsXVFm2XIPi4r7
zlNz/ehvttnSi0r27oMT4yOx9zrSX/MiqCy7j/47n9Fdn+p181sztl2H/725wK6j/0ZCeeehm+9b
Dl8hcfAfnue2suyfbf6PxdpXdcdtf+1tLVr8xn38uCn/6/8BAAD//w==</cx:binary>
              </cx:geoCache>
            </cx:geography>
          </cx:layoutPr>
        </cx:series>
      </cx:plotAreaRegion>
    </cx:plotArea>
    <cx:legend pos="t" align="ctr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Relationship Id="rId9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8.xml"/><Relationship Id="rId7" Type="http://schemas.openxmlformats.org/officeDocument/2006/relationships/chart" Target="../charts/chart11.xml"/><Relationship Id="rId2" Type="http://schemas.openxmlformats.org/officeDocument/2006/relationships/image" Target="../media/image3.emf"/><Relationship Id="rId1" Type="http://schemas.openxmlformats.org/officeDocument/2006/relationships/chart" Target="../charts/chart7.xml"/><Relationship Id="rId6" Type="http://schemas.microsoft.com/office/2014/relationships/chartEx" Target="../charts/chartEx3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8</xdr:row>
      <xdr:rowOff>42862</xdr:rowOff>
    </xdr:from>
    <xdr:to>
      <xdr:col>7</xdr:col>
      <xdr:colOff>857251</xdr:colOff>
      <xdr:row>22</xdr:row>
      <xdr:rowOff>119062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B645B82-35BC-8870-0143-A806A2302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304801</xdr:colOff>
      <xdr:row>40</xdr:row>
      <xdr:rowOff>138112</xdr:rowOff>
    </xdr:from>
    <xdr:to>
      <xdr:col>5</xdr:col>
      <xdr:colOff>561976</xdr:colOff>
      <xdr:row>50</xdr:row>
      <xdr:rowOff>152400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4235A27-8AEF-1C9E-973C-5800171AE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200024</xdr:colOff>
      <xdr:row>55</xdr:row>
      <xdr:rowOff>100011</xdr:rowOff>
    </xdr:from>
    <xdr:to>
      <xdr:col>9</xdr:col>
      <xdr:colOff>1200150</xdr:colOff>
      <xdr:row>77</xdr:row>
      <xdr:rowOff>171450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490EF6B1-6C54-9B84-0FD1-9DAB578D3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123824</xdr:colOff>
      <xdr:row>67</xdr:row>
      <xdr:rowOff>9524</xdr:rowOff>
    </xdr:from>
    <xdr:to>
      <xdr:col>9</xdr:col>
      <xdr:colOff>904875</xdr:colOff>
      <xdr:row>75</xdr:row>
      <xdr:rowOff>114299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4C771DD0-C159-48AF-A648-E45C009B5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400050</xdr:colOff>
      <xdr:row>87</xdr:row>
      <xdr:rowOff>157162</xdr:rowOff>
    </xdr:from>
    <xdr:to>
      <xdr:col>18</xdr:col>
      <xdr:colOff>400050</xdr:colOff>
      <xdr:row>102</xdr:row>
      <xdr:rowOff>42862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Wykres 6">
              <a:extLst>
                <a:ext uri="{FF2B5EF4-FFF2-40B4-BE49-F238E27FC236}">
                  <a16:creationId xmlns:a16="http://schemas.microsoft.com/office/drawing/2014/main" id="{DB755E15-2D24-79B4-6311-6598A7907F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5125" y="16768762"/>
              <a:ext cx="41719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14</xdr:col>
      <xdr:colOff>628651</xdr:colOff>
      <xdr:row>104</xdr:row>
      <xdr:rowOff>85724</xdr:rowOff>
    </xdr:from>
    <xdr:to>
      <xdr:col>17</xdr:col>
      <xdr:colOff>590550</xdr:colOff>
      <xdr:row>117</xdr:row>
      <xdr:rowOff>95250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Wykres 7">
              <a:extLst>
                <a:ext uri="{FF2B5EF4-FFF2-40B4-BE49-F238E27FC236}">
                  <a16:creationId xmlns:a16="http://schemas.microsoft.com/office/drawing/2014/main" id="{F57FB9F6-C26E-CC76-544E-F93C0C62F3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82626" y="19935824"/>
              <a:ext cx="2486024" cy="24860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2</xdr:col>
      <xdr:colOff>152401</xdr:colOff>
      <xdr:row>150</xdr:row>
      <xdr:rowOff>23811</xdr:rowOff>
    </xdr:from>
    <xdr:to>
      <xdr:col>5</xdr:col>
      <xdr:colOff>142876</xdr:colOff>
      <xdr:row>167</xdr:row>
      <xdr:rowOff>9524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A5A03A39-D988-6BB4-DDCF-4CFC891CB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38101</xdr:colOff>
      <xdr:row>176</xdr:row>
      <xdr:rowOff>85725</xdr:rowOff>
    </xdr:from>
    <xdr:to>
      <xdr:col>6</xdr:col>
      <xdr:colOff>942976</xdr:colOff>
      <xdr:row>186</xdr:row>
      <xdr:rowOff>23812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6620797A-DCAA-6828-7AD3-0B83982C9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27</xdr:row>
          <xdr:rowOff>95251</xdr:rowOff>
        </xdr:from>
        <xdr:to>
          <xdr:col>8</xdr:col>
          <xdr:colOff>311558</xdr:colOff>
          <xdr:row>36</xdr:row>
          <xdr:rowOff>1</xdr:rowOff>
        </xdr:to>
        <xdr:pic>
          <xdr:nvPicPr>
            <xdr:cNvPr id="5" name="Obraz 4">
              <a:extLst>
                <a:ext uri="{FF2B5EF4-FFF2-40B4-BE49-F238E27FC236}">
                  <a16:creationId xmlns:a16="http://schemas.microsoft.com/office/drawing/2014/main" id="{7CCCE64D-6ABB-951B-62C5-138861429B1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R$185:$V$190" spid="_x0000_s2074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6867525" y="5257801"/>
              <a:ext cx="2378483" cy="1619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0</xdr:rowOff>
    </xdr:from>
    <xdr:to>
      <xdr:col>24</xdr:col>
      <xdr:colOff>495300</xdr:colOff>
      <xdr:row>43</xdr:row>
      <xdr:rowOff>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524A174F-8F20-42CC-9B0E-B3ED413CDEEA}"/>
            </a:ext>
          </a:extLst>
        </xdr:cNvPr>
        <xdr:cNvSpPr/>
      </xdr:nvSpPr>
      <xdr:spPr>
        <a:xfrm>
          <a:off x="1898650" y="0"/>
          <a:ext cx="13328650" cy="8191500"/>
        </a:xfrm>
        <a:prstGeom prst="rect">
          <a:avLst/>
        </a:prstGeom>
        <a:solidFill>
          <a:schemeClr val="bg1"/>
        </a:solidFill>
        <a:ln>
          <a:noFill/>
        </a:ln>
        <a:effectLst>
          <a:glow rad="127000">
            <a:schemeClr val="bg1"/>
          </a:glow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123824</xdr:colOff>
      <xdr:row>14</xdr:row>
      <xdr:rowOff>104776</xdr:rowOff>
    </xdr:from>
    <xdr:to>
      <xdr:col>17</xdr:col>
      <xdr:colOff>438150</xdr:colOff>
      <xdr:row>42</xdr:row>
      <xdr:rowOff>161926</xdr:rowOff>
    </xdr:to>
    <xdr:sp macro="" textlink="">
      <xdr:nvSpPr>
        <xdr:cNvPr id="24" name="Prostokąt: zaokrąglone rogi 23">
          <a:extLst>
            <a:ext uri="{FF2B5EF4-FFF2-40B4-BE49-F238E27FC236}">
              <a16:creationId xmlns:a16="http://schemas.microsoft.com/office/drawing/2014/main" id="{D27724FB-A565-4621-BF2C-F0FC37AFDB1C}"/>
            </a:ext>
          </a:extLst>
        </xdr:cNvPr>
        <xdr:cNvSpPr/>
      </xdr:nvSpPr>
      <xdr:spPr>
        <a:xfrm>
          <a:off x="7439024" y="2771776"/>
          <a:ext cx="3362326" cy="5391150"/>
        </a:xfrm>
        <a:prstGeom prst="roundRect">
          <a:avLst/>
        </a:prstGeom>
        <a:gradFill>
          <a:gsLst>
            <a:gs pos="0">
              <a:schemeClr val="bg1"/>
            </a:gs>
            <a:gs pos="74000">
              <a:schemeClr val="bg1"/>
            </a:gs>
            <a:gs pos="83000">
              <a:schemeClr val="bg1"/>
            </a:gs>
            <a:gs pos="100000">
              <a:schemeClr val="bg1"/>
            </a:gs>
          </a:gsLst>
          <a:lin ang="5400000" scaled="1"/>
        </a:gradFill>
        <a:ln>
          <a:solidFill>
            <a:schemeClr val="bg1"/>
          </a:solidFill>
        </a:ln>
        <a:effectLst>
          <a:glow rad="101600">
            <a:schemeClr val="bg1">
              <a:lumMod val="65000"/>
              <a:alpha val="40000"/>
            </a:schemeClr>
          </a:glow>
          <a:outerShdw blurRad="50800" dist="38100" algn="l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3</xdr:col>
      <xdr:colOff>257175</xdr:colOff>
      <xdr:row>14</xdr:row>
      <xdr:rowOff>95250</xdr:rowOff>
    </xdr:from>
    <xdr:to>
      <xdr:col>11</xdr:col>
      <xdr:colOff>590550</xdr:colOff>
      <xdr:row>42</xdr:row>
      <xdr:rowOff>142876</xdr:rowOff>
    </xdr:to>
    <xdr:sp macro="" textlink="">
      <xdr:nvSpPr>
        <xdr:cNvPr id="23" name="Prostokąt: zaokrąglone rogi 22">
          <a:extLst>
            <a:ext uri="{FF2B5EF4-FFF2-40B4-BE49-F238E27FC236}">
              <a16:creationId xmlns:a16="http://schemas.microsoft.com/office/drawing/2014/main" id="{72C9894B-D4BB-4A81-9D2F-FE103C70D459}"/>
            </a:ext>
          </a:extLst>
        </xdr:cNvPr>
        <xdr:cNvSpPr/>
      </xdr:nvSpPr>
      <xdr:spPr>
        <a:xfrm>
          <a:off x="2085975" y="2762250"/>
          <a:ext cx="5210175" cy="5381626"/>
        </a:xfrm>
        <a:prstGeom prst="roundRect">
          <a:avLst/>
        </a:prstGeom>
        <a:gradFill>
          <a:gsLst>
            <a:gs pos="0">
              <a:schemeClr val="bg1"/>
            </a:gs>
            <a:gs pos="74000">
              <a:schemeClr val="bg1"/>
            </a:gs>
            <a:gs pos="83000">
              <a:schemeClr val="bg1"/>
            </a:gs>
            <a:gs pos="100000">
              <a:schemeClr val="bg1"/>
            </a:gs>
          </a:gsLst>
          <a:lin ang="5400000" scaled="1"/>
        </a:gradFill>
        <a:ln>
          <a:solidFill>
            <a:schemeClr val="bg1"/>
          </a:solidFill>
        </a:ln>
        <a:effectLst>
          <a:glow rad="101600">
            <a:schemeClr val="bg1">
              <a:lumMod val="65000"/>
              <a:alpha val="40000"/>
            </a:schemeClr>
          </a:glow>
          <a:outerShdw blurRad="50800" dist="38100" algn="l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158750</xdr:colOff>
      <xdr:row>43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D4BC6742-4B25-47F6-9E12-AC18442D09C8}"/>
            </a:ext>
          </a:extLst>
        </xdr:cNvPr>
        <xdr:cNvSpPr/>
      </xdr:nvSpPr>
      <xdr:spPr>
        <a:xfrm>
          <a:off x="0" y="0"/>
          <a:ext cx="2000250" cy="819150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238125</xdr:colOff>
      <xdr:row>1</xdr:row>
      <xdr:rowOff>0</xdr:rowOff>
    </xdr:from>
    <xdr:to>
      <xdr:col>11</xdr:col>
      <xdr:colOff>571500</xdr:colOff>
      <xdr:row>13</xdr:row>
      <xdr:rowOff>85725</xdr:rowOff>
    </xdr:to>
    <xdr:sp macro="" textlink="">
      <xdr:nvSpPr>
        <xdr:cNvPr id="4" name="Prostokąt: zaokrąglone rogi 3">
          <a:extLst>
            <a:ext uri="{FF2B5EF4-FFF2-40B4-BE49-F238E27FC236}">
              <a16:creationId xmlns:a16="http://schemas.microsoft.com/office/drawing/2014/main" id="{76E56BED-96E0-1CE0-BE54-2D4D19DBFCF1}"/>
            </a:ext>
          </a:extLst>
        </xdr:cNvPr>
        <xdr:cNvSpPr/>
      </xdr:nvSpPr>
      <xdr:spPr>
        <a:xfrm>
          <a:off x="2066925" y="190500"/>
          <a:ext cx="5210175" cy="2371725"/>
        </a:xfrm>
        <a:prstGeom prst="roundRect">
          <a:avLst/>
        </a:prstGeom>
        <a:gradFill>
          <a:gsLst>
            <a:gs pos="0">
              <a:schemeClr val="bg1"/>
            </a:gs>
            <a:gs pos="74000">
              <a:schemeClr val="bg1"/>
            </a:gs>
            <a:gs pos="83000">
              <a:schemeClr val="bg1"/>
            </a:gs>
            <a:gs pos="100000">
              <a:schemeClr val="bg1"/>
            </a:gs>
          </a:gsLst>
          <a:lin ang="5400000" scaled="1"/>
        </a:gradFill>
        <a:ln>
          <a:solidFill>
            <a:schemeClr val="bg1"/>
          </a:solidFill>
        </a:ln>
        <a:effectLst>
          <a:glow rad="101600">
            <a:schemeClr val="bg1">
              <a:lumMod val="65000"/>
              <a:alpha val="40000"/>
            </a:schemeClr>
          </a:glow>
          <a:outerShdw blurRad="50800" dist="38100" algn="l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12</xdr:col>
      <xdr:colOff>142874</xdr:colOff>
      <xdr:row>1</xdr:row>
      <xdr:rowOff>9525</xdr:rowOff>
    </xdr:from>
    <xdr:to>
      <xdr:col>17</xdr:col>
      <xdr:colOff>457200</xdr:colOff>
      <xdr:row>13</xdr:row>
      <xdr:rowOff>95250</xdr:rowOff>
    </xdr:to>
    <xdr:sp macro="" textlink="">
      <xdr:nvSpPr>
        <xdr:cNvPr id="5" name="Prostokąt: zaokrąglone rogi 4">
          <a:extLst>
            <a:ext uri="{FF2B5EF4-FFF2-40B4-BE49-F238E27FC236}">
              <a16:creationId xmlns:a16="http://schemas.microsoft.com/office/drawing/2014/main" id="{411BB30C-9C0C-4999-82C6-5FFF57623E74}"/>
            </a:ext>
          </a:extLst>
        </xdr:cNvPr>
        <xdr:cNvSpPr/>
      </xdr:nvSpPr>
      <xdr:spPr>
        <a:xfrm>
          <a:off x="7458074" y="200025"/>
          <a:ext cx="3362326" cy="2371725"/>
        </a:xfrm>
        <a:prstGeom prst="roundRect">
          <a:avLst/>
        </a:prstGeom>
        <a:gradFill>
          <a:gsLst>
            <a:gs pos="0">
              <a:schemeClr val="bg1"/>
            </a:gs>
            <a:gs pos="74000">
              <a:schemeClr val="bg1"/>
            </a:gs>
            <a:gs pos="83000">
              <a:schemeClr val="bg1"/>
            </a:gs>
            <a:gs pos="100000">
              <a:schemeClr val="bg1"/>
            </a:gs>
          </a:gsLst>
          <a:lin ang="5400000" scaled="1"/>
        </a:gradFill>
        <a:ln>
          <a:solidFill>
            <a:schemeClr val="bg1"/>
          </a:solidFill>
        </a:ln>
        <a:effectLst>
          <a:glow rad="101600">
            <a:schemeClr val="bg1">
              <a:lumMod val="65000"/>
              <a:alpha val="40000"/>
            </a:schemeClr>
          </a:glow>
          <a:outerShdw blurRad="50800" dist="38100" algn="l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18</xdr:col>
      <xdr:colOff>0</xdr:colOff>
      <xdr:row>1</xdr:row>
      <xdr:rowOff>9525</xdr:rowOff>
    </xdr:from>
    <xdr:to>
      <xdr:col>24</xdr:col>
      <xdr:colOff>285750</xdr:colOff>
      <xdr:row>13</xdr:row>
      <xdr:rowOff>95250</xdr:rowOff>
    </xdr:to>
    <xdr:sp macro="" textlink="">
      <xdr:nvSpPr>
        <xdr:cNvPr id="6" name="Prostokąt: zaokrąglone rogi 5">
          <a:extLst>
            <a:ext uri="{FF2B5EF4-FFF2-40B4-BE49-F238E27FC236}">
              <a16:creationId xmlns:a16="http://schemas.microsoft.com/office/drawing/2014/main" id="{427E855C-C5EC-4F4B-8FF0-27E328623A56}"/>
            </a:ext>
          </a:extLst>
        </xdr:cNvPr>
        <xdr:cNvSpPr/>
      </xdr:nvSpPr>
      <xdr:spPr>
        <a:xfrm>
          <a:off x="10972800" y="200025"/>
          <a:ext cx="3943350" cy="2371725"/>
        </a:xfrm>
        <a:prstGeom prst="roundRect">
          <a:avLst/>
        </a:prstGeom>
        <a:gradFill>
          <a:gsLst>
            <a:gs pos="0">
              <a:schemeClr val="bg1"/>
            </a:gs>
            <a:gs pos="74000">
              <a:schemeClr val="bg1"/>
            </a:gs>
            <a:gs pos="83000">
              <a:schemeClr val="bg1"/>
            </a:gs>
            <a:gs pos="100000">
              <a:schemeClr val="bg1"/>
            </a:gs>
          </a:gsLst>
          <a:lin ang="5400000" scaled="1"/>
        </a:gradFill>
        <a:ln>
          <a:solidFill>
            <a:schemeClr val="bg1"/>
          </a:solidFill>
        </a:ln>
        <a:effectLst>
          <a:glow rad="101600">
            <a:schemeClr val="bg1">
              <a:lumMod val="65000"/>
              <a:alpha val="40000"/>
            </a:schemeClr>
          </a:glow>
          <a:outerShdw blurRad="50800" dist="38100" algn="l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3</xdr:col>
      <xdr:colOff>342900</xdr:colOff>
      <xdr:row>1</xdr:row>
      <xdr:rowOff>104775</xdr:rowOff>
    </xdr:from>
    <xdr:to>
      <xdr:col>11</xdr:col>
      <xdr:colOff>447675</xdr:colOff>
      <xdr:row>13</xdr:row>
      <xdr:rowOff>9525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9CBD6A6C-A404-4328-AEAE-A60205E48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190501</xdr:colOff>
          <xdr:row>2</xdr:row>
          <xdr:rowOff>55293</xdr:rowOff>
        </xdr:from>
        <xdr:to>
          <xdr:col>17</xdr:col>
          <xdr:colOff>183072</xdr:colOff>
          <xdr:row>12</xdr:row>
          <xdr:rowOff>161925</xdr:rowOff>
        </xdr:to>
        <xdr:pic>
          <xdr:nvPicPr>
            <xdr:cNvPr id="12" name="Obraz 11">
              <a:extLst>
                <a:ext uri="{FF2B5EF4-FFF2-40B4-BE49-F238E27FC236}">
                  <a16:creationId xmlns:a16="http://schemas.microsoft.com/office/drawing/2014/main" id="{3598EDD9-0F7F-20AE-3E8B-6443F804CE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s!$R$185:$V$190" spid="_x0000_s105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556501" y="436293"/>
              <a:ext cx="3061738" cy="201163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12</xdr:col>
      <xdr:colOff>321470</xdr:colOff>
      <xdr:row>1</xdr:row>
      <xdr:rowOff>45244</xdr:rowOff>
    </xdr:from>
    <xdr:to>
      <xdr:col>17</xdr:col>
      <xdr:colOff>416718</xdr:colOff>
      <xdr:row>2</xdr:row>
      <xdr:rowOff>150019</xdr:rowOff>
    </xdr:to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566F525D-2376-20E7-37F9-7D7CA0D47747}"/>
            </a:ext>
          </a:extLst>
        </xdr:cNvPr>
        <xdr:cNvSpPr txBox="1"/>
      </xdr:nvSpPr>
      <xdr:spPr>
        <a:xfrm>
          <a:off x="7608095" y="235744"/>
          <a:ext cx="3131342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/>
            <a:t>Customer </a:t>
          </a:r>
          <a:r>
            <a: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Purchase</a:t>
          </a:r>
          <a:r>
            <a:rPr lang="pl-PL" sz="1400"/>
            <a:t> Channel Preference</a:t>
          </a:r>
          <a:endParaRPr lang="pl-PL" sz="1400" b="0" i="0" u="none" strike="noStrike" kern="1200" spc="0" baseline="0">
            <a:solidFill>
              <a:sysClr val="windowText" lastClr="000000">
                <a:lumMod val="65000"/>
                <a:lumOff val="35000"/>
              </a:sys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66675</xdr:colOff>
      <xdr:row>1</xdr:row>
      <xdr:rowOff>114299</xdr:rowOff>
    </xdr:from>
    <xdr:to>
      <xdr:col>24</xdr:col>
      <xdr:colOff>209550</xdr:colOff>
      <xdr:row>12</xdr:row>
      <xdr:rowOff>161924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EA107B6B-29A9-4DFD-91D7-EDEA4A077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295275</xdr:colOff>
      <xdr:row>14</xdr:row>
      <xdr:rowOff>123824</xdr:rowOff>
    </xdr:from>
    <xdr:to>
      <xdr:col>11</xdr:col>
      <xdr:colOff>495301</xdr:colOff>
      <xdr:row>42</xdr:row>
      <xdr:rowOff>161925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13655CBB-C084-4587-A789-FF0096E53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219075</xdr:colOff>
      <xdr:row>30</xdr:row>
      <xdr:rowOff>76200</xdr:rowOff>
    </xdr:from>
    <xdr:to>
      <xdr:col>11</xdr:col>
      <xdr:colOff>438150</xdr:colOff>
      <xdr:row>41</xdr:row>
      <xdr:rowOff>47626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95AF47EE-B493-42A2-864B-463E595CF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304800</xdr:colOff>
      <xdr:row>15</xdr:row>
      <xdr:rowOff>28575</xdr:rowOff>
    </xdr:from>
    <xdr:to>
      <xdr:col>17</xdr:col>
      <xdr:colOff>352425</xdr:colOff>
      <xdr:row>42</xdr:row>
      <xdr:rowOff>114299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9" name="Wykres 18">
              <a:extLst>
                <a:ext uri="{FF2B5EF4-FFF2-40B4-BE49-F238E27FC236}">
                  <a16:creationId xmlns:a16="http://schemas.microsoft.com/office/drawing/2014/main" id="{F227A278-D3B1-47A2-BCF7-F18AADB8C0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0" y="2886075"/>
              <a:ext cx="3095625" cy="52292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14</xdr:row>
      <xdr:rowOff>95250</xdr:rowOff>
    </xdr:from>
    <xdr:to>
      <xdr:col>24</xdr:col>
      <xdr:colOff>285750</xdr:colOff>
      <xdr:row>27</xdr:row>
      <xdr:rowOff>161926</xdr:rowOff>
    </xdr:to>
    <xdr:sp macro="" textlink="">
      <xdr:nvSpPr>
        <xdr:cNvPr id="21" name="Prostokąt: zaokrąglone rogi 20">
          <a:extLst>
            <a:ext uri="{FF2B5EF4-FFF2-40B4-BE49-F238E27FC236}">
              <a16:creationId xmlns:a16="http://schemas.microsoft.com/office/drawing/2014/main" id="{5D9F2D25-5C1D-4EBF-8745-71765447374A}"/>
            </a:ext>
          </a:extLst>
        </xdr:cNvPr>
        <xdr:cNvSpPr/>
      </xdr:nvSpPr>
      <xdr:spPr>
        <a:xfrm>
          <a:off x="10972800" y="2762250"/>
          <a:ext cx="3943350" cy="2543176"/>
        </a:xfrm>
        <a:prstGeom prst="roundRect">
          <a:avLst/>
        </a:prstGeom>
        <a:gradFill>
          <a:gsLst>
            <a:gs pos="0">
              <a:schemeClr val="bg1"/>
            </a:gs>
            <a:gs pos="74000">
              <a:schemeClr val="bg1"/>
            </a:gs>
            <a:gs pos="83000">
              <a:schemeClr val="bg1"/>
            </a:gs>
            <a:gs pos="100000">
              <a:schemeClr val="bg1"/>
            </a:gs>
          </a:gsLst>
          <a:lin ang="5400000" scaled="1"/>
        </a:gradFill>
        <a:ln>
          <a:solidFill>
            <a:schemeClr val="bg1"/>
          </a:solidFill>
        </a:ln>
        <a:effectLst>
          <a:glow rad="101600">
            <a:schemeClr val="bg1">
              <a:lumMod val="65000"/>
              <a:alpha val="40000"/>
            </a:schemeClr>
          </a:glow>
          <a:outerShdw blurRad="50800" dist="38100" algn="l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18</xdr:col>
      <xdr:colOff>0</xdr:colOff>
      <xdr:row>28</xdr:row>
      <xdr:rowOff>152399</xdr:rowOff>
    </xdr:from>
    <xdr:to>
      <xdr:col>24</xdr:col>
      <xdr:colOff>285750</xdr:colOff>
      <xdr:row>42</xdr:row>
      <xdr:rowOff>114300</xdr:rowOff>
    </xdr:to>
    <xdr:sp macro="" textlink="">
      <xdr:nvSpPr>
        <xdr:cNvPr id="22" name="Prostokąt: zaokrąglone rogi 21">
          <a:extLst>
            <a:ext uri="{FF2B5EF4-FFF2-40B4-BE49-F238E27FC236}">
              <a16:creationId xmlns:a16="http://schemas.microsoft.com/office/drawing/2014/main" id="{C2DE6A77-B28D-45D6-BBAD-F20CEAE539AE}"/>
            </a:ext>
          </a:extLst>
        </xdr:cNvPr>
        <xdr:cNvSpPr/>
      </xdr:nvSpPr>
      <xdr:spPr>
        <a:xfrm>
          <a:off x="10972800" y="5486399"/>
          <a:ext cx="3943350" cy="2628901"/>
        </a:xfrm>
        <a:prstGeom prst="roundRect">
          <a:avLst/>
        </a:prstGeom>
        <a:gradFill>
          <a:gsLst>
            <a:gs pos="0">
              <a:schemeClr val="bg1"/>
            </a:gs>
            <a:gs pos="74000">
              <a:schemeClr val="bg1"/>
            </a:gs>
            <a:gs pos="83000">
              <a:schemeClr val="bg1"/>
            </a:gs>
            <a:gs pos="100000">
              <a:schemeClr val="bg1"/>
            </a:gs>
          </a:gsLst>
          <a:lin ang="5400000" scaled="1"/>
        </a:gradFill>
        <a:ln>
          <a:solidFill>
            <a:schemeClr val="bg1"/>
          </a:solidFill>
        </a:ln>
        <a:effectLst>
          <a:glow rad="101600">
            <a:schemeClr val="bg1">
              <a:lumMod val="65000"/>
              <a:alpha val="40000"/>
            </a:schemeClr>
          </a:glow>
          <a:outerShdw blurRad="50800" dist="38100" algn="l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18</xdr:col>
      <xdr:colOff>133350</xdr:colOff>
      <xdr:row>14</xdr:row>
      <xdr:rowOff>171451</xdr:rowOff>
    </xdr:from>
    <xdr:to>
      <xdr:col>24</xdr:col>
      <xdr:colOff>238125</xdr:colOff>
      <xdr:row>27</xdr:row>
      <xdr:rowOff>161925</xdr:rowOff>
    </xdr:to>
    <xdr:graphicFrame macro="">
      <xdr:nvGraphicFramePr>
        <xdr:cNvPr id="25" name="Wykres 24">
          <a:extLst>
            <a:ext uri="{FF2B5EF4-FFF2-40B4-BE49-F238E27FC236}">
              <a16:creationId xmlns:a16="http://schemas.microsoft.com/office/drawing/2014/main" id="{9BFEE001-95C3-40A2-986E-C51E9593A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85726</xdr:colOff>
      <xdr:row>29</xdr:row>
      <xdr:rowOff>19051</xdr:rowOff>
    </xdr:from>
    <xdr:to>
      <xdr:col>24</xdr:col>
      <xdr:colOff>238126</xdr:colOff>
      <xdr:row>42</xdr:row>
      <xdr:rowOff>114301</xdr:rowOff>
    </xdr:to>
    <xdr:graphicFrame macro="">
      <xdr:nvGraphicFramePr>
        <xdr:cNvPr id="26" name="Wykres 25">
          <a:extLst>
            <a:ext uri="{FF2B5EF4-FFF2-40B4-BE49-F238E27FC236}">
              <a16:creationId xmlns:a16="http://schemas.microsoft.com/office/drawing/2014/main" id="{0F84B388-5E84-4074-A04A-6F81265C5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</xdr:row>
      <xdr:rowOff>158750</xdr:rowOff>
    </xdr:from>
    <xdr:to>
      <xdr:col>2</xdr:col>
      <xdr:colOff>105833</xdr:colOff>
      <xdr:row>5</xdr:row>
      <xdr:rowOff>52917</xdr:rowOff>
    </xdr:to>
    <xdr:sp macro="" textlink="">
      <xdr:nvSpPr>
        <xdr:cNvPr id="27" name="pole tekstowe 26">
          <a:extLst>
            <a:ext uri="{FF2B5EF4-FFF2-40B4-BE49-F238E27FC236}">
              <a16:creationId xmlns:a16="http://schemas.microsoft.com/office/drawing/2014/main" id="{2066E9DF-CCE3-E4EE-5823-4C68C40C6E6F}"/>
            </a:ext>
          </a:extLst>
        </xdr:cNvPr>
        <xdr:cNvSpPr txBox="1"/>
      </xdr:nvSpPr>
      <xdr:spPr>
        <a:xfrm>
          <a:off x="0" y="730250"/>
          <a:ext cx="1333500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>
              <a:solidFill>
                <a:schemeClr val="bg1"/>
              </a:solidFill>
            </a:rPr>
            <a:t>🛒 Orders</a:t>
          </a:r>
        </a:p>
      </xdr:txBody>
    </xdr:sp>
    <xdr:clientData/>
  </xdr:twoCellAnchor>
  <xdr:twoCellAnchor>
    <xdr:from>
      <xdr:col>0</xdr:col>
      <xdr:colOff>0</xdr:colOff>
      <xdr:row>7</xdr:row>
      <xdr:rowOff>120649</xdr:rowOff>
    </xdr:from>
    <xdr:to>
      <xdr:col>2</xdr:col>
      <xdr:colOff>105833</xdr:colOff>
      <xdr:row>9</xdr:row>
      <xdr:rowOff>21166</xdr:rowOff>
    </xdr:to>
    <xdr:sp macro="" textlink="">
      <xdr:nvSpPr>
        <xdr:cNvPr id="28" name="pole tekstowe 27">
          <a:extLst>
            <a:ext uri="{FF2B5EF4-FFF2-40B4-BE49-F238E27FC236}">
              <a16:creationId xmlns:a16="http://schemas.microsoft.com/office/drawing/2014/main" id="{B1E6CD28-49AD-41D0-801F-98339E1C5183}"/>
            </a:ext>
          </a:extLst>
        </xdr:cNvPr>
        <xdr:cNvSpPr txBox="1"/>
      </xdr:nvSpPr>
      <xdr:spPr>
        <a:xfrm>
          <a:off x="0" y="1454149"/>
          <a:ext cx="1333500" cy="281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>
              <a:solidFill>
                <a:schemeClr val="bg1"/>
              </a:solidFill>
            </a:rPr>
            <a:t>👔 Units</a:t>
          </a:r>
          <a:r>
            <a:rPr lang="pl-PL" sz="1100" baseline="0">
              <a:solidFill>
                <a:schemeClr val="bg1"/>
              </a:solidFill>
            </a:rPr>
            <a:t> sold</a:t>
          </a:r>
          <a:endParaRPr lang="pl-PL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11</xdr:row>
      <xdr:rowOff>124882</xdr:rowOff>
    </xdr:from>
    <xdr:to>
      <xdr:col>2</xdr:col>
      <xdr:colOff>105833</xdr:colOff>
      <xdr:row>13</xdr:row>
      <xdr:rowOff>10583</xdr:rowOff>
    </xdr:to>
    <xdr:sp macro="" textlink="">
      <xdr:nvSpPr>
        <xdr:cNvPr id="29" name="pole tekstowe 28">
          <a:extLst>
            <a:ext uri="{FF2B5EF4-FFF2-40B4-BE49-F238E27FC236}">
              <a16:creationId xmlns:a16="http://schemas.microsoft.com/office/drawing/2014/main" id="{62B11E19-C814-48C8-A17E-A85D6E3F6FBB}"/>
            </a:ext>
          </a:extLst>
        </xdr:cNvPr>
        <xdr:cNvSpPr txBox="1"/>
      </xdr:nvSpPr>
      <xdr:spPr>
        <a:xfrm>
          <a:off x="0" y="2220382"/>
          <a:ext cx="1333500" cy="266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>
              <a:solidFill>
                <a:schemeClr val="bg1"/>
              </a:solidFill>
            </a:rPr>
            <a:t>💵 Revenue</a:t>
          </a:r>
        </a:p>
      </xdr:txBody>
    </xdr:sp>
    <xdr:clientData/>
  </xdr:twoCellAnchor>
  <xdr:twoCellAnchor>
    <xdr:from>
      <xdr:col>0</xdr:col>
      <xdr:colOff>0</xdr:colOff>
      <xdr:row>15</xdr:row>
      <xdr:rowOff>129118</xdr:rowOff>
    </xdr:from>
    <xdr:to>
      <xdr:col>2</xdr:col>
      <xdr:colOff>105833</xdr:colOff>
      <xdr:row>17</xdr:row>
      <xdr:rowOff>31752</xdr:rowOff>
    </xdr:to>
    <xdr:sp macro="" textlink="">
      <xdr:nvSpPr>
        <xdr:cNvPr id="30" name="pole tekstowe 29">
          <a:extLst>
            <a:ext uri="{FF2B5EF4-FFF2-40B4-BE49-F238E27FC236}">
              <a16:creationId xmlns:a16="http://schemas.microsoft.com/office/drawing/2014/main" id="{134EFA40-F73B-4AFD-B2DE-7D5732D31785}"/>
            </a:ext>
          </a:extLst>
        </xdr:cNvPr>
        <xdr:cNvSpPr txBox="1"/>
      </xdr:nvSpPr>
      <xdr:spPr>
        <a:xfrm>
          <a:off x="0" y="2986618"/>
          <a:ext cx="1333500" cy="283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/>
            <a:t>⭐</a:t>
          </a:r>
          <a:r>
            <a:rPr lang="pl-PL" sz="1100">
              <a:solidFill>
                <a:schemeClr val="bg1"/>
              </a:solidFill>
            </a:rPr>
            <a:t>Avg.</a:t>
          </a:r>
          <a:r>
            <a:rPr lang="pl-PL" sz="1100" baseline="0">
              <a:solidFill>
                <a:schemeClr val="bg1"/>
              </a:solidFill>
            </a:rPr>
            <a:t> Rating</a:t>
          </a:r>
          <a:endParaRPr lang="pl-PL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19</xdr:row>
      <xdr:rowOff>143932</xdr:rowOff>
    </xdr:from>
    <xdr:to>
      <xdr:col>2</xdr:col>
      <xdr:colOff>380998</xdr:colOff>
      <xdr:row>21</xdr:row>
      <xdr:rowOff>95250</xdr:rowOff>
    </xdr:to>
    <xdr:sp macro="" textlink="">
      <xdr:nvSpPr>
        <xdr:cNvPr id="31" name="pole tekstowe 30">
          <a:extLst>
            <a:ext uri="{FF2B5EF4-FFF2-40B4-BE49-F238E27FC236}">
              <a16:creationId xmlns:a16="http://schemas.microsoft.com/office/drawing/2014/main" id="{0B4DEBC8-2B6F-4A54-98EB-F32C4AAF0825}"/>
            </a:ext>
          </a:extLst>
        </xdr:cNvPr>
        <xdr:cNvSpPr txBox="1"/>
      </xdr:nvSpPr>
      <xdr:spPr>
        <a:xfrm>
          <a:off x="0" y="3763432"/>
          <a:ext cx="1608665" cy="33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/>
            <a:t>📅 </a:t>
          </a:r>
          <a:r>
            <a:rPr lang="pl-PL" sz="1100">
              <a:solidFill>
                <a:schemeClr val="bg1"/>
              </a:solidFill>
            </a:rPr>
            <a:t>Avg.</a:t>
          </a:r>
          <a:r>
            <a:rPr lang="pl-PL" sz="1100" baseline="0">
              <a:solidFill>
                <a:schemeClr val="bg1"/>
              </a:solidFill>
            </a:rPr>
            <a:t> Days to delivery</a:t>
          </a:r>
          <a:endParaRPr lang="pl-PL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35718</xdr:colOff>
      <xdr:row>0</xdr:row>
      <xdr:rowOff>83342</xdr:rowOff>
    </xdr:from>
    <xdr:to>
      <xdr:col>3</xdr:col>
      <xdr:colOff>83343</xdr:colOff>
      <xdr:row>2</xdr:row>
      <xdr:rowOff>178592</xdr:rowOff>
    </xdr:to>
    <xdr:sp macro="" textlink="">
      <xdr:nvSpPr>
        <xdr:cNvPr id="32" name="pole tekstowe 31">
          <a:extLst>
            <a:ext uri="{FF2B5EF4-FFF2-40B4-BE49-F238E27FC236}">
              <a16:creationId xmlns:a16="http://schemas.microsoft.com/office/drawing/2014/main" id="{217AFDEA-C012-B968-01AC-C6FEDA4045DF}"/>
            </a:ext>
          </a:extLst>
        </xdr:cNvPr>
        <xdr:cNvSpPr txBox="1"/>
      </xdr:nvSpPr>
      <xdr:spPr>
        <a:xfrm>
          <a:off x="35718" y="83342"/>
          <a:ext cx="186928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2400" i="1">
              <a:solidFill>
                <a:schemeClr val="bg1"/>
              </a:solidFill>
              <a:latin typeface="Aptos Slab ExtraBold" panose="020F0502020204030204" pitchFamily="34" charset="0"/>
            </a:rPr>
            <a:t>COMPANY</a:t>
          </a:r>
        </a:p>
      </xdr:txBody>
    </xdr:sp>
    <xdr:clientData/>
  </xdr:twoCellAnchor>
  <xdr:twoCellAnchor>
    <xdr:from>
      <xdr:col>0</xdr:col>
      <xdr:colOff>42333</xdr:colOff>
      <xdr:row>5</xdr:row>
      <xdr:rowOff>1</xdr:rowOff>
    </xdr:from>
    <xdr:to>
      <xdr:col>1</xdr:col>
      <xdr:colOff>455083</xdr:colOff>
      <xdr:row>6</xdr:row>
      <xdr:rowOff>84667</xdr:rowOff>
    </xdr:to>
    <xdr:sp macro="" textlink="Pivots!$G$4">
      <xdr:nvSpPr>
        <xdr:cNvPr id="33" name="pole tekstowe 32">
          <a:extLst>
            <a:ext uri="{FF2B5EF4-FFF2-40B4-BE49-F238E27FC236}">
              <a16:creationId xmlns:a16="http://schemas.microsoft.com/office/drawing/2014/main" id="{3394B4D1-9B36-B85A-51DD-E181F6DEE218}"/>
            </a:ext>
          </a:extLst>
        </xdr:cNvPr>
        <xdr:cNvSpPr txBox="1"/>
      </xdr:nvSpPr>
      <xdr:spPr>
        <a:xfrm>
          <a:off x="42333" y="952501"/>
          <a:ext cx="1026583" cy="275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516EA38-5927-40CF-B25D-13F0D4E1F905}" type="TxLink">
            <a:rPr lang="en-US" sz="1800" b="0" i="0" u="none" strike="noStrike">
              <a:solidFill>
                <a:schemeClr val="bg1"/>
              </a:solidFill>
              <a:latin typeface="+mn-lt"/>
              <a:cs typeface="Calibri"/>
            </a:rPr>
            <a:pPr/>
            <a:t>2 400</a:t>
          </a:fld>
          <a:endParaRPr lang="pl-PL" sz="180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0</xdr:col>
      <xdr:colOff>0</xdr:colOff>
      <xdr:row>9</xdr:row>
      <xdr:rowOff>4234</xdr:rowOff>
    </xdr:from>
    <xdr:to>
      <xdr:col>1</xdr:col>
      <xdr:colOff>412750</xdr:colOff>
      <xdr:row>10</xdr:row>
      <xdr:rowOff>88900</xdr:rowOff>
    </xdr:to>
    <xdr:sp macro="" textlink="Pivots!$H$4">
      <xdr:nvSpPr>
        <xdr:cNvPr id="34" name="pole tekstowe 33">
          <a:extLst>
            <a:ext uri="{FF2B5EF4-FFF2-40B4-BE49-F238E27FC236}">
              <a16:creationId xmlns:a16="http://schemas.microsoft.com/office/drawing/2014/main" id="{3F8C20E6-BB44-4890-B327-781E64A6544C}"/>
            </a:ext>
          </a:extLst>
        </xdr:cNvPr>
        <xdr:cNvSpPr txBox="1"/>
      </xdr:nvSpPr>
      <xdr:spPr>
        <a:xfrm>
          <a:off x="0" y="1718734"/>
          <a:ext cx="1026583" cy="275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CEF1816-A2BE-4E6E-9400-174D94B40ADE}" type="TxLink">
            <a:rPr lang="en-US" sz="1800" b="0" i="0" u="none" strike="noStrike">
              <a:solidFill>
                <a:schemeClr val="bg1"/>
              </a:solidFill>
              <a:latin typeface="+mn-lt"/>
              <a:ea typeface="+mn-ea"/>
              <a:cs typeface="Calibri"/>
            </a:rPr>
            <a:pPr marL="0" indent="0"/>
            <a:t>11 997</a:t>
          </a:fld>
          <a:endParaRPr lang="pl-PL" sz="1800" b="0" i="0" u="none" strike="noStrike">
            <a:solidFill>
              <a:schemeClr val="bg1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8467</xdr:colOff>
      <xdr:row>13</xdr:row>
      <xdr:rowOff>29634</xdr:rowOff>
    </xdr:from>
    <xdr:to>
      <xdr:col>1</xdr:col>
      <xdr:colOff>421217</xdr:colOff>
      <xdr:row>14</xdr:row>
      <xdr:rowOff>114300</xdr:rowOff>
    </xdr:to>
    <xdr:sp macro="" textlink="Pivots!I4">
      <xdr:nvSpPr>
        <xdr:cNvPr id="35" name="pole tekstowe 34">
          <a:extLst>
            <a:ext uri="{FF2B5EF4-FFF2-40B4-BE49-F238E27FC236}">
              <a16:creationId xmlns:a16="http://schemas.microsoft.com/office/drawing/2014/main" id="{F3AD03E9-A9D0-4B59-B242-EF04FA51D7E7}"/>
            </a:ext>
          </a:extLst>
        </xdr:cNvPr>
        <xdr:cNvSpPr txBox="1"/>
      </xdr:nvSpPr>
      <xdr:spPr>
        <a:xfrm>
          <a:off x="8467" y="2506134"/>
          <a:ext cx="1026583" cy="275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AC2FE31-31A7-4136-AAEB-3AB671D5E240}" type="TxLink">
            <a:rPr lang="en-US" sz="1800" b="0" i="0" u="none" strike="noStrike">
              <a:solidFill>
                <a:schemeClr val="bg1"/>
              </a:solidFill>
              <a:latin typeface="+mn-lt"/>
              <a:ea typeface="+mn-ea"/>
              <a:cs typeface="Calibri"/>
            </a:rPr>
            <a:pPr marL="0" indent="0"/>
            <a:t>649 020</a:t>
          </a:fld>
          <a:endParaRPr lang="pl-PL" sz="1800" b="0" i="0" u="none" strike="noStrike">
            <a:solidFill>
              <a:schemeClr val="bg1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55034</xdr:colOff>
      <xdr:row>17</xdr:row>
      <xdr:rowOff>33867</xdr:rowOff>
    </xdr:from>
    <xdr:to>
      <xdr:col>1</xdr:col>
      <xdr:colOff>467784</xdr:colOff>
      <xdr:row>18</xdr:row>
      <xdr:rowOff>118533</xdr:rowOff>
    </xdr:to>
    <xdr:sp macro="" textlink="Pivots!J4">
      <xdr:nvSpPr>
        <xdr:cNvPr id="36" name="pole tekstowe 35">
          <a:extLst>
            <a:ext uri="{FF2B5EF4-FFF2-40B4-BE49-F238E27FC236}">
              <a16:creationId xmlns:a16="http://schemas.microsoft.com/office/drawing/2014/main" id="{E560251F-FFA2-4929-9947-717B1E4373AD}"/>
            </a:ext>
          </a:extLst>
        </xdr:cNvPr>
        <xdr:cNvSpPr txBox="1"/>
      </xdr:nvSpPr>
      <xdr:spPr>
        <a:xfrm>
          <a:off x="55034" y="3272367"/>
          <a:ext cx="1026583" cy="275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8A69E8B-D357-415F-B39E-E16EDDE6188E}" type="TxLink">
            <a:rPr lang="en-US" sz="1800" b="0" i="0" u="none" strike="noStrike">
              <a:solidFill>
                <a:schemeClr val="bg1"/>
              </a:solidFill>
              <a:latin typeface="+mn-lt"/>
              <a:ea typeface="+mn-ea"/>
              <a:cs typeface="Calibri"/>
            </a:rPr>
            <a:pPr marL="0" indent="0"/>
            <a:t>3,96</a:t>
          </a:fld>
          <a:endParaRPr lang="pl-PL" sz="1800" b="0" i="0" u="none" strike="noStrike">
            <a:solidFill>
              <a:schemeClr val="bg1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27518</xdr:colOff>
      <xdr:row>21</xdr:row>
      <xdr:rowOff>16934</xdr:rowOff>
    </xdr:from>
    <xdr:to>
      <xdr:col>1</xdr:col>
      <xdr:colOff>440268</xdr:colOff>
      <xdr:row>22</xdr:row>
      <xdr:rowOff>101600</xdr:rowOff>
    </xdr:to>
    <xdr:sp macro="" textlink="Pivots!K4">
      <xdr:nvSpPr>
        <xdr:cNvPr id="37" name="pole tekstowe 36">
          <a:extLst>
            <a:ext uri="{FF2B5EF4-FFF2-40B4-BE49-F238E27FC236}">
              <a16:creationId xmlns:a16="http://schemas.microsoft.com/office/drawing/2014/main" id="{FE7AFB6E-74E1-44E9-8352-2A8676986ECB}"/>
            </a:ext>
          </a:extLst>
        </xdr:cNvPr>
        <xdr:cNvSpPr txBox="1"/>
      </xdr:nvSpPr>
      <xdr:spPr>
        <a:xfrm>
          <a:off x="27518" y="4017434"/>
          <a:ext cx="1026583" cy="275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CCD18FD-1D6E-44F4-A3C3-AF8D02E21FB1}" type="TxLink">
            <a:rPr lang="en-US" sz="1800" b="0" i="0" u="none" strike="noStrike">
              <a:solidFill>
                <a:schemeClr val="bg1"/>
              </a:solidFill>
              <a:latin typeface="+mn-lt"/>
              <a:ea typeface="+mn-ea"/>
              <a:cs typeface="Calibri"/>
            </a:rPr>
            <a:pPr marL="0" indent="0"/>
            <a:t>2,34</a:t>
          </a:fld>
          <a:endParaRPr lang="pl-PL" sz="1800" b="0" i="0" u="none" strike="noStrike">
            <a:solidFill>
              <a:schemeClr val="bg1"/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21166</xdr:colOff>
      <xdr:row>6</xdr:row>
      <xdr:rowOff>169333</xdr:rowOff>
    </xdr:from>
    <xdr:to>
      <xdr:col>2</xdr:col>
      <xdr:colOff>455083</xdr:colOff>
      <xdr:row>6</xdr:row>
      <xdr:rowOff>169333</xdr:rowOff>
    </xdr:to>
    <xdr:cxnSp macro="">
      <xdr:nvCxnSpPr>
        <xdr:cNvPr id="39" name="Łącznik prosty 38">
          <a:extLst>
            <a:ext uri="{FF2B5EF4-FFF2-40B4-BE49-F238E27FC236}">
              <a16:creationId xmlns:a16="http://schemas.microsoft.com/office/drawing/2014/main" id="{4A4796D2-3237-0FA4-A85D-7E2FF4FB8F94}"/>
            </a:ext>
          </a:extLst>
        </xdr:cNvPr>
        <xdr:cNvCxnSpPr/>
      </xdr:nvCxnSpPr>
      <xdr:spPr>
        <a:xfrm>
          <a:off x="21166" y="1312333"/>
          <a:ext cx="1661584" cy="0"/>
        </a:xfrm>
        <a:prstGeom prst="line">
          <a:avLst/>
        </a:prstGeom>
        <a:ln w="19050">
          <a:solidFill>
            <a:schemeClr val="bg1">
              <a:alpha val="5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14816</xdr:colOff>
      <xdr:row>11</xdr:row>
      <xdr:rowOff>25400</xdr:rowOff>
    </xdr:from>
    <xdr:to>
      <xdr:col>2</xdr:col>
      <xdr:colOff>448733</xdr:colOff>
      <xdr:row>11</xdr:row>
      <xdr:rowOff>25400</xdr:rowOff>
    </xdr:to>
    <xdr:cxnSp macro="">
      <xdr:nvCxnSpPr>
        <xdr:cNvPr id="46" name="Łącznik prosty 45">
          <a:extLst>
            <a:ext uri="{FF2B5EF4-FFF2-40B4-BE49-F238E27FC236}">
              <a16:creationId xmlns:a16="http://schemas.microsoft.com/office/drawing/2014/main" id="{A202BE5D-3E05-46A0-8F45-DB108B36D539}"/>
            </a:ext>
          </a:extLst>
        </xdr:cNvPr>
        <xdr:cNvCxnSpPr/>
      </xdr:nvCxnSpPr>
      <xdr:spPr>
        <a:xfrm>
          <a:off x="14816" y="2120900"/>
          <a:ext cx="1661584" cy="0"/>
        </a:xfrm>
        <a:prstGeom prst="line">
          <a:avLst/>
        </a:prstGeom>
        <a:ln w="19050">
          <a:solidFill>
            <a:schemeClr val="bg1">
              <a:alpha val="5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71967</xdr:rowOff>
    </xdr:from>
    <xdr:to>
      <xdr:col>2</xdr:col>
      <xdr:colOff>433917</xdr:colOff>
      <xdr:row>15</xdr:row>
      <xdr:rowOff>71967</xdr:rowOff>
    </xdr:to>
    <xdr:cxnSp macro="">
      <xdr:nvCxnSpPr>
        <xdr:cNvPr id="47" name="Łącznik prosty 46">
          <a:extLst>
            <a:ext uri="{FF2B5EF4-FFF2-40B4-BE49-F238E27FC236}">
              <a16:creationId xmlns:a16="http://schemas.microsoft.com/office/drawing/2014/main" id="{ECEBE57F-5715-41EA-B5B5-DAED3332741D}"/>
            </a:ext>
          </a:extLst>
        </xdr:cNvPr>
        <xdr:cNvCxnSpPr/>
      </xdr:nvCxnSpPr>
      <xdr:spPr>
        <a:xfrm>
          <a:off x="0" y="2929467"/>
          <a:ext cx="1661584" cy="0"/>
        </a:xfrm>
        <a:prstGeom prst="line">
          <a:avLst/>
        </a:prstGeom>
        <a:ln w="19050">
          <a:solidFill>
            <a:schemeClr val="bg1">
              <a:alpha val="5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14817</xdr:colOff>
      <xdr:row>19</xdr:row>
      <xdr:rowOff>97367</xdr:rowOff>
    </xdr:from>
    <xdr:to>
      <xdr:col>2</xdr:col>
      <xdr:colOff>448734</xdr:colOff>
      <xdr:row>19</xdr:row>
      <xdr:rowOff>97367</xdr:rowOff>
    </xdr:to>
    <xdr:cxnSp macro="">
      <xdr:nvCxnSpPr>
        <xdr:cNvPr id="48" name="Łącznik prosty 47">
          <a:extLst>
            <a:ext uri="{FF2B5EF4-FFF2-40B4-BE49-F238E27FC236}">
              <a16:creationId xmlns:a16="http://schemas.microsoft.com/office/drawing/2014/main" id="{49A52DC7-86E9-44E0-BBE1-EAA3CDE2DC31}"/>
            </a:ext>
          </a:extLst>
        </xdr:cNvPr>
        <xdr:cNvCxnSpPr/>
      </xdr:nvCxnSpPr>
      <xdr:spPr>
        <a:xfrm>
          <a:off x="14817" y="3716867"/>
          <a:ext cx="1661584" cy="0"/>
        </a:xfrm>
        <a:prstGeom prst="line">
          <a:avLst/>
        </a:prstGeom>
        <a:ln w="19050">
          <a:solidFill>
            <a:schemeClr val="bg1">
              <a:alpha val="5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186267</xdr:rowOff>
    </xdr:from>
    <xdr:to>
      <xdr:col>2</xdr:col>
      <xdr:colOff>433917</xdr:colOff>
      <xdr:row>22</xdr:row>
      <xdr:rowOff>186267</xdr:rowOff>
    </xdr:to>
    <xdr:cxnSp macro="">
      <xdr:nvCxnSpPr>
        <xdr:cNvPr id="49" name="Łącznik prosty 48">
          <a:extLst>
            <a:ext uri="{FF2B5EF4-FFF2-40B4-BE49-F238E27FC236}">
              <a16:creationId xmlns:a16="http://schemas.microsoft.com/office/drawing/2014/main" id="{0661A76D-A7DE-4D8D-9C81-DEE9391882B9}"/>
            </a:ext>
          </a:extLst>
        </xdr:cNvPr>
        <xdr:cNvCxnSpPr/>
      </xdr:nvCxnSpPr>
      <xdr:spPr>
        <a:xfrm>
          <a:off x="0" y="4377267"/>
          <a:ext cx="1661584" cy="0"/>
        </a:xfrm>
        <a:prstGeom prst="line">
          <a:avLst/>
        </a:prstGeom>
        <a:ln w="19050">
          <a:solidFill>
            <a:schemeClr val="bg1">
              <a:alpha val="5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285749</xdr:colOff>
      <xdr:row>34</xdr:row>
      <xdr:rowOff>116417</xdr:rowOff>
    </xdr:from>
    <xdr:to>
      <xdr:col>2</xdr:col>
      <xdr:colOff>455081</xdr:colOff>
      <xdr:row>42</xdr:row>
      <xdr:rowOff>58211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Gender Value">
              <a:extLst>
                <a:ext uri="{FF2B5EF4-FFF2-40B4-BE49-F238E27FC236}">
                  <a16:creationId xmlns:a16="http://schemas.microsoft.com/office/drawing/2014/main" id="{0BF491D5-2F90-4727-8BE3-FB2933D8AE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Val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49" y="6593417"/>
              <a:ext cx="1383770" cy="1465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264584</xdr:colOff>
      <xdr:row>24</xdr:row>
      <xdr:rowOff>137582</xdr:rowOff>
    </xdr:from>
    <xdr:to>
      <xdr:col>2</xdr:col>
      <xdr:colOff>433917</xdr:colOff>
      <xdr:row>34</xdr:row>
      <xdr:rowOff>42331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1" name="Order Mode">
              <a:extLst>
                <a:ext uri="{FF2B5EF4-FFF2-40B4-BE49-F238E27FC236}">
                  <a16:creationId xmlns:a16="http://schemas.microsoft.com/office/drawing/2014/main" id="{A542A69E-6DC8-4FC3-9F91-9CFA78D6E2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584" y="4709582"/>
              <a:ext cx="1383771" cy="1809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bert Biały" refreshedDate="46071.850327662039" createdVersion="8" refreshedVersion="8" minRefreshableVersion="3" recordCount="2400" xr:uid="{E00F9BE3-11CE-4318-81C4-B3B300FFA09E}">
  <cacheSource type="worksheet">
    <worksheetSource name="orders"/>
  </cacheSource>
  <cacheFields count="18">
    <cacheField name="TX ID" numFmtId="0">
      <sharedItems count="2400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</sharedItems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5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</sharedItems>
      <fieldGroup par="17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 count="4">
        <s v=""/>
        <s v="M"/>
        <s v="F"/>
        <s v="O"/>
      </sharedItems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 count="5">
        <n v="4"/>
        <n v="3"/>
        <n v="5"/>
        <n v="1"/>
        <n v="2"/>
      </sharedItems>
    </cacheField>
    <cacheField name="State" numFmtId="0">
      <sharedItems count="1">
        <s v="California"/>
      </sharedItems>
    </cacheField>
    <cacheField name="County" numFmtId="0">
      <sharedItems count="58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</sharedItems>
    </cacheField>
    <cacheField name="Days to Deliver" numFmtId="0">
      <sharedItems containsSemiMixedTypes="0" containsString="0" containsNumber="1" containsInteger="1" minValue="0" maxValue="14" count="15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</sharedItems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Quantity2" numFmtId="0" databaseField="0">
      <fieldGroup base="2">
        <discretePr count="48">
          <x v="0"/>
          <x v="1"/>
          <x v="2"/>
          <x v="5"/>
          <x v="6"/>
          <x v="6"/>
          <x v="6"/>
          <x v="5"/>
          <x v="5"/>
          <x v="3"/>
          <x v="6"/>
          <x v="5"/>
          <x v="4"/>
          <x v="5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</discretePr>
        <groupItems count="7">
          <n v="1"/>
          <n v="2"/>
          <n v="3"/>
          <n v="5"/>
          <n v="4"/>
          <s v="Grupuj1"/>
          <s v="Grupuj2"/>
        </groupItems>
      </fieldGroup>
    </cacheField>
    <cacheField name="Dni (Order Date)" numFmtId="0" databaseField="0">
      <fieldGroup base="5">
        <rangePr groupBy="days" startDate="2025-01-01T00:00:00" endDate="2025-03-30T00:00:00"/>
        <groupItems count="368">
          <s v="&lt;01.01.2025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0.03.2025"/>
        </groupItems>
      </fieldGroup>
    </cacheField>
    <cacheField name="Miesiące (Order Date)" numFmtId="0" databaseField="0">
      <fieldGroup base="5">
        <rangePr groupBy="months" startDate="2025-01-01T00:00:00" endDate="2025-03-30T00:00:00"/>
        <groupItems count="14">
          <s v="&lt;01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0.03.2025"/>
        </groupItems>
      </fieldGroup>
    </cacheField>
  </cacheFields>
  <extLst>
    <ext xmlns:x14="http://schemas.microsoft.com/office/spreadsheetml/2009/9/main" uri="{725AE2AE-9491-48be-B2B4-4EB974FC3084}">
      <x14:pivotCacheDefinition pivotCacheId="6567049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x v="0"/>
    <x v="0"/>
    <x v="0"/>
    <n v="10.9"/>
    <n v="10.9"/>
    <x v="0"/>
    <d v="2025-01-06T00:00:00"/>
    <x v="0"/>
    <x v="0"/>
    <x v="0"/>
    <x v="0"/>
    <x v="0"/>
    <x v="0"/>
    <x v="0"/>
    <x v="0"/>
  </r>
  <r>
    <x v="1"/>
    <x v="1"/>
    <x v="1"/>
    <n v="30.6"/>
    <n v="61.2"/>
    <x v="0"/>
    <d v="2025-01-03T00:00:00"/>
    <x v="1"/>
    <x v="0"/>
    <x v="0"/>
    <x v="0"/>
    <x v="1"/>
    <x v="1"/>
    <x v="0"/>
    <x v="1"/>
  </r>
  <r>
    <x v="2"/>
    <x v="2"/>
    <x v="2"/>
    <n v="109.4"/>
    <n v="328.20000000000005"/>
    <x v="0"/>
    <d v="2025-01-04T00:00:00"/>
    <x v="2"/>
    <x v="0"/>
    <x v="1"/>
    <x v="0"/>
    <x v="2"/>
    <x v="2"/>
    <x v="0"/>
    <x v="2"/>
  </r>
  <r>
    <x v="3"/>
    <x v="3"/>
    <x v="3"/>
    <n v="37.700000000000003"/>
    <n v="263.90000000000003"/>
    <x v="0"/>
    <d v="2025-01-02T00:00:00"/>
    <x v="2"/>
    <x v="0"/>
    <x v="0"/>
    <x v="0"/>
    <x v="2"/>
    <x v="3"/>
    <x v="0"/>
    <x v="2"/>
  </r>
  <r>
    <x v="4"/>
    <x v="4"/>
    <x v="2"/>
    <n v="56.7"/>
    <n v="170.10000000000002"/>
    <x v="0"/>
    <d v="2025-01-04T00:00:00"/>
    <x v="2"/>
    <x v="0"/>
    <x v="2"/>
    <x v="0"/>
    <x v="3"/>
    <x v="2"/>
    <x v="0"/>
    <x v="2"/>
  </r>
  <r>
    <x v="5"/>
    <x v="1"/>
    <x v="4"/>
    <n v="83.5"/>
    <n v="1002"/>
    <x v="0"/>
    <d v="2025-01-04T00:00:00"/>
    <x v="1"/>
    <x v="1"/>
    <x v="0"/>
    <x v="0"/>
    <x v="3"/>
    <x v="2"/>
    <x v="0"/>
    <x v="1"/>
  </r>
  <r>
    <x v="6"/>
    <x v="5"/>
    <x v="0"/>
    <n v="55.3"/>
    <n v="55.3"/>
    <x v="0"/>
    <d v="2025-01-02T00:00:00"/>
    <x v="2"/>
    <x v="0"/>
    <x v="0"/>
    <x v="0"/>
    <x v="3"/>
    <x v="3"/>
    <x v="0"/>
    <x v="2"/>
  </r>
  <r>
    <x v="7"/>
    <x v="6"/>
    <x v="1"/>
    <n v="40.299999999999997"/>
    <n v="80.599999999999994"/>
    <x v="0"/>
    <d v="2025-01-02T00:00:00"/>
    <x v="1"/>
    <x v="2"/>
    <x v="2"/>
    <x v="0"/>
    <x v="3"/>
    <x v="3"/>
    <x v="0"/>
    <x v="1"/>
  </r>
  <r>
    <x v="8"/>
    <x v="7"/>
    <x v="5"/>
    <n v="35.700000000000003"/>
    <n v="392.70000000000005"/>
    <x v="0"/>
    <d v="2025-01-02T00:00:00"/>
    <x v="2"/>
    <x v="0"/>
    <x v="0"/>
    <x v="0"/>
    <x v="3"/>
    <x v="3"/>
    <x v="0"/>
    <x v="2"/>
  </r>
  <r>
    <x v="9"/>
    <x v="8"/>
    <x v="3"/>
    <n v="22.4"/>
    <n v="156.79999999999998"/>
    <x v="0"/>
    <d v="2025-01-04T00:00:00"/>
    <x v="1"/>
    <x v="0"/>
    <x v="1"/>
    <x v="0"/>
    <x v="3"/>
    <x v="2"/>
    <x v="0"/>
    <x v="1"/>
  </r>
  <r>
    <x v="10"/>
    <x v="9"/>
    <x v="1"/>
    <n v="54.4"/>
    <n v="108.8"/>
    <x v="0"/>
    <d v="2025-01-07T00:00:00"/>
    <x v="2"/>
    <x v="0"/>
    <x v="0"/>
    <x v="0"/>
    <x v="3"/>
    <x v="4"/>
    <x v="0"/>
    <x v="2"/>
  </r>
  <r>
    <x v="11"/>
    <x v="9"/>
    <x v="1"/>
    <n v="49"/>
    <n v="98"/>
    <x v="0"/>
    <d v="2025-01-03T00:00:00"/>
    <x v="2"/>
    <x v="2"/>
    <x v="1"/>
    <x v="0"/>
    <x v="3"/>
    <x v="1"/>
    <x v="0"/>
    <x v="2"/>
  </r>
  <r>
    <x v="12"/>
    <x v="5"/>
    <x v="3"/>
    <n v="118.6"/>
    <n v="830.19999999999993"/>
    <x v="0"/>
    <d v="2025-01-05T00:00:00"/>
    <x v="2"/>
    <x v="1"/>
    <x v="0"/>
    <x v="0"/>
    <x v="4"/>
    <x v="5"/>
    <x v="0"/>
    <x v="2"/>
  </r>
  <r>
    <x v="13"/>
    <x v="6"/>
    <x v="6"/>
    <n v="88.4"/>
    <n v="2386.8000000000002"/>
    <x v="0"/>
    <d v="2025-01-08T00:00:00"/>
    <x v="1"/>
    <x v="3"/>
    <x v="0"/>
    <x v="0"/>
    <x v="5"/>
    <x v="6"/>
    <x v="0"/>
    <x v="1"/>
  </r>
  <r>
    <x v="14"/>
    <x v="10"/>
    <x v="0"/>
    <n v="66.7"/>
    <n v="66.7"/>
    <x v="0"/>
    <d v="2025-01-04T00:00:00"/>
    <x v="1"/>
    <x v="0"/>
    <x v="0"/>
    <x v="0"/>
    <x v="6"/>
    <x v="2"/>
    <x v="0"/>
    <x v="1"/>
  </r>
  <r>
    <x v="15"/>
    <x v="9"/>
    <x v="7"/>
    <n v="30.9"/>
    <n v="309"/>
    <x v="0"/>
    <d v="2025-01-02T00:00:00"/>
    <x v="1"/>
    <x v="1"/>
    <x v="2"/>
    <x v="0"/>
    <x v="6"/>
    <x v="3"/>
    <x v="0"/>
    <x v="1"/>
  </r>
  <r>
    <x v="16"/>
    <x v="4"/>
    <x v="2"/>
    <n v="31.1"/>
    <n v="93.300000000000011"/>
    <x v="0"/>
    <d v="2025-01-02T00:00:00"/>
    <x v="2"/>
    <x v="0"/>
    <x v="1"/>
    <x v="0"/>
    <x v="6"/>
    <x v="3"/>
    <x v="0"/>
    <x v="2"/>
  </r>
  <r>
    <x v="17"/>
    <x v="7"/>
    <x v="2"/>
    <n v="36.6"/>
    <n v="109.80000000000001"/>
    <x v="0"/>
    <d v="2025-01-04T00:00:00"/>
    <x v="2"/>
    <x v="0"/>
    <x v="0"/>
    <x v="0"/>
    <x v="7"/>
    <x v="2"/>
    <x v="0"/>
    <x v="2"/>
  </r>
  <r>
    <x v="18"/>
    <x v="6"/>
    <x v="8"/>
    <n v="51.1"/>
    <n v="408.8"/>
    <x v="0"/>
    <d v="2025-01-04T00:00:00"/>
    <x v="2"/>
    <x v="2"/>
    <x v="3"/>
    <x v="0"/>
    <x v="7"/>
    <x v="2"/>
    <x v="0"/>
    <x v="2"/>
  </r>
  <r>
    <x v="19"/>
    <x v="9"/>
    <x v="0"/>
    <n v="25.2"/>
    <n v="25.2"/>
    <x v="0"/>
    <d v="2025-01-02T00:00:00"/>
    <x v="2"/>
    <x v="1"/>
    <x v="2"/>
    <x v="0"/>
    <x v="8"/>
    <x v="3"/>
    <x v="0"/>
    <x v="2"/>
  </r>
  <r>
    <x v="20"/>
    <x v="9"/>
    <x v="9"/>
    <n v="43.8"/>
    <n v="219"/>
    <x v="0"/>
    <d v="2025-01-04T00:00:00"/>
    <x v="2"/>
    <x v="2"/>
    <x v="0"/>
    <x v="0"/>
    <x v="8"/>
    <x v="2"/>
    <x v="0"/>
    <x v="2"/>
  </r>
  <r>
    <x v="21"/>
    <x v="8"/>
    <x v="4"/>
    <n v="46.7"/>
    <n v="560.40000000000009"/>
    <x v="0"/>
    <d v="2025-01-02T00:00:00"/>
    <x v="2"/>
    <x v="1"/>
    <x v="1"/>
    <x v="0"/>
    <x v="8"/>
    <x v="3"/>
    <x v="0"/>
    <x v="2"/>
  </r>
  <r>
    <x v="22"/>
    <x v="3"/>
    <x v="10"/>
    <n v="79.900000000000006"/>
    <n v="1518.1000000000001"/>
    <x v="0"/>
    <d v="2025-01-02T00:00:00"/>
    <x v="1"/>
    <x v="0"/>
    <x v="2"/>
    <x v="0"/>
    <x v="8"/>
    <x v="3"/>
    <x v="0"/>
    <x v="1"/>
  </r>
  <r>
    <x v="23"/>
    <x v="11"/>
    <x v="8"/>
    <n v="26.4"/>
    <n v="211.2"/>
    <x v="0"/>
    <d v="2025-01-02T00:00:00"/>
    <x v="2"/>
    <x v="3"/>
    <x v="0"/>
    <x v="0"/>
    <x v="8"/>
    <x v="3"/>
    <x v="0"/>
    <x v="2"/>
  </r>
  <r>
    <x v="24"/>
    <x v="12"/>
    <x v="8"/>
    <n v="88.8"/>
    <n v="710.4"/>
    <x v="0"/>
    <d v="2025-01-02T00:00:00"/>
    <x v="2"/>
    <x v="4"/>
    <x v="0"/>
    <x v="0"/>
    <x v="8"/>
    <x v="3"/>
    <x v="0"/>
    <x v="2"/>
  </r>
  <r>
    <x v="25"/>
    <x v="0"/>
    <x v="7"/>
    <n v="17.5"/>
    <n v="175"/>
    <x v="0"/>
    <d v="2025-01-02T00:00:00"/>
    <x v="2"/>
    <x v="2"/>
    <x v="0"/>
    <x v="0"/>
    <x v="9"/>
    <x v="3"/>
    <x v="0"/>
    <x v="2"/>
  </r>
  <r>
    <x v="26"/>
    <x v="1"/>
    <x v="11"/>
    <n v="38.700000000000003"/>
    <n v="348.3"/>
    <x v="0"/>
    <d v="2025-01-04T00:00:00"/>
    <x v="1"/>
    <x v="1"/>
    <x v="0"/>
    <x v="0"/>
    <x v="10"/>
    <x v="2"/>
    <x v="0"/>
    <x v="1"/>
  </r>
  <r>
    <x v="27"/>
    <x v="13"/>
    <x v="12"/>
    <n v="57.2"/>
    <n v="228.8"/>
    <x v="0"/>
    <d v="2025-01-03T00:00:00"/>
    <x v="0"/>
    <x v="1"/>
    <x v="2"/>
    <x v="0"/>
    <x v="11"/>
    <x v="1"/>
    <x v="0"/>
    <x v="0"/>
  </r>
  <r>
    <x v="28"/>
    <x v="6"/>
    <x v="9"/>
    <n v="50.9"/>
    <n v="254.5"/>
    <x v="0"/>
    <d v="2025-01-07T00:00:00"/>
    <x v="0"/>
    <x v="1"/>
    <x v="2"/>
    <x v="0"/>
    <x v="12"/>
    <x v="4"/>
    <x v="0"/>
    <x v="0"/>
  </r>
  <r>
    <x v="29"/>
    <x v="14"/>
    <x v="3"/>
    <n v="41"/>
    <n v="287"/>
    <x v="0"/>
    <d v="2025-01-05T00:00:00"/>
    <x v="2"/>
    <x v="1"/>
    <x v="0"/>
    <x v="0"/>
    <x v="13"/>
    <x v="5"/>
    <x v="0"/>
    <x v="2"/>
  </r>
  <r>
    <x v="30"/>
    <x v="8"/>
    <x v="3"/>
    <n v="19.100000000000001"/>
    <n v="133.70000000000002"/>
    <x v="0"/>
    <d v="2025-01-05T00:00:00"/>
    <x v="1"/>
    <x v="0"/>
    <x v="2"/>
    <x v="0"/>
    <x v="14"/>
    <x v="5"/>
    <x v="0"/>
    <x v="1"/>
  </r>
  <r>
    <x v="31"/>
    <x v="2"/>
    <x v="9"/>
    <n v="166.1"/>
    <n v="830.5"/>
    <x v="0"/>
    <d v="2025-01-04T00:00:00"/>
    <x v="1"/>
    <x v="0"/>
    <x v="0"/>
    <x v="0"/>
    <x v="15"/>
    <x v="2"/>
    <x v="0"/>
    <x v="1"/>
  </r>
  <r>
    <x v="32"/>
    <x v="4"/>
    <x v="2"/>
    <n v="29.9"/>
    <n v="89.699999999999989"/>
    <x v="0"/>
    <d v="2025-01-02T00:00:00"/>
    <x v="1"/>
    <x v="3"/>
    <x v="0"/>
    <x v="0"/>
    <x v="3"/>
    <x v="3"/>
    <x v="0"/>
    <x v="1"/>
  </r>
  <r>
    <x v="33"/>
    <x v="10"/>
    <x v="13"/>
    <n v="21.7"/>
    <n v="130.19999999999999"/>
    <x v="0"/>
    <d v="2025-01-03T00:00:00"/>
    <x v="3"/>
    <x v="2"/>
    <x v="2"/>
    <x v="0"/>
    <x v="3"/>
    <x v="1"/>
    <x v="0"/>
    <x v="3"/>
  </r>
  <r>
    <x v="34"/>
    <x v="11"/>
    <x v="1"/>
    <n v="32"/>
    <n v="64"/>
    <x v="0"/>
    <d v="2025-01-04T00:00:00"/>
    <x v="1"/>
    <x v="0"/>
    <x v="2"/>
    <x v="0"/>
    <x v="3"/>
    <x v="2"/>
    <x v="0"/>
    <x v="1"/>
  </r>
  <r>
    <x v="35"/>
    <x v="8"/>
    <x v="1"/>
    <n v="15.8"/>
    <n v="31.6"/>
    <x v="0"/>
    <d v="2025-01-02T00:00:00"/>
    <x v="1"/>
    <x v="4"/>
    <x v="2"/>
    <x v="0"/>
    <x v="3"/>
    <x v="3"/>
    <x v="0"/>
    <x v="1"/>
  </r>
  <r>
    <x v="36"/>
    <x v="2"/>
    <x v="14"/>
    <n v="203.1"/>
    <n v="3452.7"/>
    <x v="0"/>
    <d v="2025-01-05T00:00:00"/>
    <x v="1"/>
    <x v="3"/>
    <x v="1"/>
    <x v="0"/>
    <x v="3"/>
    <x v="5"/>
    <x v="0"/>
    <x v="1"/>
  </r>
  <r>
    <x v="37"/>
    <x v="7"/>
    <x v="15"/>
    <n v="39"/>
    <n v="507"/>
    <x v="0"/>
    <d v="2025-01-07T00:00:00"/>
    <x v="1"/>
    <x v="0"/>
    <x v="2"/>
    <x v="0"/>
    <x v="3"/>
    <x v="4"/>
    <x v="0"/>
    <x v="1"/>
  </r>
  <r>
    <x v="38"/>
    <x v="10"/>
    <x v="0"/>
    <n v="26.5"/>
    <n v="26.5"/>
    <x v="1"/>
    <d v="2025-01-03T00:00:00"/>
    <x v="1"/>
    <x v="2"/>
    <x v="0"/>
    <x v="0"/>
    <x v="3"/>
    <x v="3"/>
    <x v="0"/>
    <x v="1"/>
  </r>
  <r>
    <x v="39"/>
    <x v="5"/>
    <x v="0"/>
    <n v="43.1"/>
    <n v="43.1"/>
    <x v="1"/>
    <d v="2025-01-03T00:00:00"/>
    <x v="2"/>
    <x v="2"/>
    <x v="1"/>
    <x v="0"/>
    <x v="3"/>
    <x v="3"/>
    <x v="0"/>
    <x v="2"/>
  </r>
  <r>
    <x v="40"/>
    <x v="1"/>
    <x v="2"/>
    <n v="139"/>
    <n v="417"/>
    <x v="1"/>
    <d v="2025-01-03T00:00:00"/>
    <x v="2"/>
    <x v="4"/>
    <x v="2"/>
    <x v="0"/>
    <x v="3"/>
    <x v="3"/>
    <x v="0"/>
    <x v="2"/>
  </r>
  <r>
    <x v="41"/>
    <x v="12"/>
    <x v="0"/>
    <n v="80.7"/>
    <n v="80.7"/>
    <x v="1"/>
    <d v="2025-01-03T00:00:00"/>
    <x v="1"/>
    <x v="0"/>
    <x v="2"/>
    <x v="0"/>
    <x v="16"/>
    <x v="3"/>
    <x v="0"/>
    <x v="1"/>
  </r>
  <r>
    <x v="42"/>
    <x v="4"/>
    <x v="1"/>
    <n v="54.5"/>
    <n v="109"/>
    <x v="1"/>
    <d v="2025-01-04T00:00:00"/>
    <x v="1"/>
    <x v="1"/>
    <x v="1"/>
    <x v="0"/>
    <x v="6"/>
    <x v="1"/>
    <x v="0"/>
    <x v="1"/>
  </r>
  <r>
    <x v="43"/>
    <x v="6"/>
    <x v="2"/>
    <n v="68.599999999999994"/>
    <n v="205.79999999999998"/>
    <x v="1"/>
    <d v="2025-01-02T00:00:00"/>
    <x v="2"/>
    <x v="0"/>
    <x v="1"/>
    <x v="0"/>
    <x v="8"/>
    <x v="7"/>
    <x v="0"/>
    <x v="2"/>
  </r>
  <r>
    <x v="44"/>
    <x v="2"/>
    <x v="12"/>
    <n v="135.9"/>
    <n v="543.6"/>
    <x v="1"/>
    <d v="2025-01-03T00:00:00"/>
    <x v="2"/>
    <x v="2"/>
    <x v="2"/>
    <x v="0"/>
    <x v="8"/>
    <x v="3"/>
    <x v="0"/>
    <x v="2"/>
  </r>
  <r>
    <x v="45"/>
    <x v="2"/>
    <x v="12"/>
    <n v="70.900000000000006"/>
    <n v="283.60000000000002"/>
    <x v="1"/>
    <d v="2025-01-03T00:00:00"/>
    <x v="2"/>
    <x v="0"/>
    <x v="0"/>
    <x v="0"/>
    <x v="17"/>
    <x v="3"/>
    <x v="0"/>
    <x v="2"/>
  </r>
  <r>
    <x v="46"/>
    <x v="1"/>
    <x v="9"/>
    <n v="63.7"/>
    <n v="318.5"/>
    <x v="1"/>
    <d v="2025-01-03T00:00:00"/>
    <x v="1"/>
    <x v="1"/>
    <x v="1"/>
    <x v="0"/>
    <x v="9"/>
    <x v="3"/>
    <x v="0"/>
    <x v="1"/>
  </r>
  <r>
    <x v="47"/>
    <x v="13"/>
    <x v="0"/>
    <n v="29.7"/>
    <n v="29.7"/>
    <x v="1"/>
    <d v="2025-01-04T00:00:00"/>
    <x v="2"/>
    <x v="1"/>
    <x v="0"/>
    <x v="0"/>
    <x v="11"/>
    <x v="1"/>
    <x v="0"/>
    <x v="2"/>
  </r>
  <r>
    <x v="48"/>
    <x v="4"/>
    <x v="2"/>
    <n v="26.8"/>
    <n v="80.400000000000006"/>
    <x v="1"/>
    <d v="2025-01-11T00:00:00"/>
    <x v="2"/>
    <x v="1"/>
    <x v="2"/>
    <x v="0"/>
    <x v="11"/>
    <x v="8"/>
    <x v="0"/>
    <x v="2"/>
  </r>
  <r>
    <x v="49"/>
    <x v="14"/>
    <x v="0"/>
    <n v="27"/>
    <n v="27"/>
    <x v="1"/>
    <d v="2025-01-04T00:00:00"/>
    <x v="2"/>
    <x v="0"/>
    <x v="0"/>
    <x v="0"/>
    <x v="18"/>
    <x v="1"/>
    <x v="0"/>
    <x v="2"/>
  </r>
  <r>
    <x v="50"/>
    <x v="8"/>
    <x v="0"/>
    <n v="41.4"/>
    <n v="41.4"/>
    <x v="1"/>
    <d v="2025-01-03T00:00:00"/>
    <x v="1"/>
    <x v="1"/>
    <x v="2"/>
    <x v="0"/>
    <x v="19"/>
    <x v="3"/>
    <x v="0"/>
    <x v="1"/>
  </r>
  <r>
    <x v="51"/>
    <x v="8"/>
    <x v="1"/>
    <n v="24.3"/>
    <n v="48.6"/>
    <x v="1"/>
    <d v="2025-01-05T00:00:00"/>
    <x v="2"/>
    <x v="1"/>
    <x v="0"/>
    <x v="0"/>
    <x v="19"/>
    <x v="2"/>
    <x v="0"/>
    <x v="2"/>
  </r>
  <r>
    <x v="52"/>
    <x v="8"/>
    <x v="2"/>
    <n v="41.7"/>
    <n v="125.10000000000001"/>
    <x v="1"/>
    <d v="2025-01-04T00:00:00"/>
    <x v="1"/>
    <x v="0"/>
    <x v="2"/>
    <x v="0"/>
    <x v="20"/>
    <x v="1"/>
    <x v="0"/>
    <x v="1"/>
  </r>
  <r>
    <x v="53"/>
    <x v="0"/>
    <x v="1"/>
    <n v="18"/>
    <n v="36"/>
    <x v="1"/>
    <d v="2025-01-03T00:00:00"/>
    <x v="2"/>
    <x v="0"/>
    <x v="2"/>
    <x v="0"/>
    <x v="21"/>
    <x v="3"/>
    <x v="0"/>
    <x v="2"/>
  </r>
  <r>
    <x v="54"/>
    <x v="7"/>
    <x v="2"/>
    <n v="91.3"/>
    <n v="273.89999999999998"/>
    <x v="1"/>
    <d v="2025-01-05T00:00:00"/>
    <x v="1"/>
    <x v="2"/>
    <x v="2"/>
    <x v="0"/>
    <x v="3"/>
    <x v="2"/>
    <x v="0"/>
    <x v="1"/>
  </r>
  <r>
    <x v="55"/>
    <x v="8"/>
    <x v="8"/>
    <n v="19.3"/>
    <n v="154.4"/>
    <x v="1"/>
    <d v="2025-01-03T00:00:00"/>
    <x v="1"/>
    <x v="0"/>
    <x v="0"/>
    <x v="0"/>
    <x v="3"/>
    <x v="3"/>
    <x v="0"/>
    <x v="1"/>
  </r>
  <r>
    <x v="56"/>
    <x v="12"/>
    <x v="15"/>
    <n v="63.2"/>
    <n v="821.6"/>
    <x v="1"/>
    <d v="2025-01-03T00:00:00"/>
    <x v="2"/>
    <x v="0"/>
    <x v="0"/>
    <x v="0"/>
    <x v="3"/>
    <x v="3"/>
    <x v="0"/>
    <x v="2"/>
  </r>
  <r>
    <x v="57"/>
    <x v="10"/>
    <x v="11"/>
    <n v="33.299999999999997"/>
    <n v="299.7"/>
    <x v="2"/>
    <d v="2025-01-11T00:00:00"/>
    <x v="2"/>
    <x v="0"/>
    <x v="2"/>
    <x v="0"/>
    <x v="3"/>
    <x v="9"/>
    <x v="0"/>
    <x v="2"/>
  </r>
  <r>
    <x v="58"/>
    <x v="7"/>
    <x v="1"/>
    <n v="64.2"/>
    <n v="128.4"/>
    <x v="2"/>
    <d v="2025-01-04T00:00:00"/>
    <x v="1"/>
    <x v="0"/>
    <x v="2"/>
    <x v="0"/>
    <x v="3"/>
    <x v="3"/>
    <x v="0"/>
    <x v="1"/>
  </r>
  <r>
    <x v="59"/>
    <x v="9"/>
    <x v="2"/>
    <n v="23.1"/>
    <n v="69.300000000000011"/>
    <x v="2"/>
    <d v="2025-01-06T00:00:00"/>
    <x v="2"/>
    <x v="1"/>
    <x v="2"/>
    <x v="0"/>
    <x v="3"/>
    <x v="2"/>
    <x v="0"/>
    <x v="2"/>
  </r>
  <r>
    <x v="60"/>
    <x v="15"/>
    <x v="1"/>
    <n v="71.099999999999994"/>
    <n v="142.19999999999999"/>
    <x v="2"/>
    <d v="2025-01-05T00:00:00"/>
    <x v="2"/>
    <x v="3"/>
    <x v="1"/>
    <x v="0"/>
    <x v="3"/>
    <x v="1"/>
    <x v="0"/>
    <x v="2"/>
  </r>
  <r>
    <x v="61"/>
    <x v="0"/>
    <x v="1"/>
    <n v="11.5"/>
    <n v="23"/>
    <x v="2"/>
    <d v="2025-01-04T00:00:00"/>
    <x v="2"/>
    <x v="0"/>
    <x v="0"/>
    <x v="0"/>
    <x v="3"/>
    <x v="3"/>
    <x v="0"/>
    <x v="2"/>
  </r>
  <r>
    <x v="62"/>
    <x v="15"/>
    <x v="10"/>
    <n v="69.2"/>
    <n v="1314.8"/>
    <x v="2"/>
    <d v="2025-01-08T00:00:00"/>
    <x v="2"/>
    <x v="0"/>
    <x v="0"/>
    <x v="0"/>
    <x v="3"/>
    <x v="0"/>
    <x v="0"/>
    <x v="2"/>
  </r>
  <r>
    <x v="63"/>
    <x v="0"/>
    <x v="0"/>
    <n v="26.8"/>
    <n v="26.8"/>
    <x v="2"/>
    <d v="2025-01-04T00:00:00"/>
    <x v="1"/>
    <x v="2"/>
    <x v="4"/>
    <x v="0"/>
    <x v="3"/>
    <x v="3"/>
    <x v="0"/>
    <x v="1"/>
  </r>
  <r>
    <x v="64"/>
    <x v="16"/>
    <x v="2"/>
    <n v="31.2"/>
    <n v="93.6"/>
    <x v="2"/>
    <d v="2025-01-06T00:00:00"/>
    <x v="2"/>
    <x v="0"/>
    <x v="0"/>
    <x v="0"/>
    <x v="3"/>
    <x v="2"/>
    <x v="0"/>
    <x v="2"/>
  </r>
  <r>
    <x v="65"/>
    <x v="12"/>
    <x v="1"/>
    <n v="113.2"/>
    <n v="226.4"/>
    <x v="2"/>
    <d v="2025-01-04T00:00:00"/>
    <x v="2"/>
    <x v="4"/>
    <x v="0"/>
    <x v="0"/>
    <x v="3"/>
    <x v="3"/>
    <x v="0"/>
    <x v="2"/>
  </r>
  <r>
    <x v="66"/>
    <x v="10"/>
    <x v="8"/>
    <n v="21"/>
    <n v="168"/>
    <x v="2"/>
    <d v="2025-01-04T00:00:00"/>
    <x v="1"/>
    <x v="0"/>
    <x v="0"/>
    <x v="0"/>
    <x v="6"/>
    <x v="3"/>
    <x v="0"/>
    <x v="1"/>
  </r>
  <r>
    <x v="67"/>
    <x v="1"/>
    <x v="1"/>
    <n v="89.1"/>
    <n v="178.2"/>
    <x v="2"/>
    <d v="2025-01-04T00:00:00"/>
    <x v="2"/>
    <x v="2"/>
    <x v="2"/>
    <x v="0"/>
    <x v="6"/>
    <x v="3"/>
    <x v="0"/>
    <x v="2"/>
  </r>
  <r>
    <x v="68"/>
    <x v="1"/>
    <x v="0"/>
    <n v="97.7"/>
    <n v="97.7"/>
    <x v="2"/>
    <d v="2025-01-05T00:00:00"/>
    <x v="2"/>
    <x v="0"/>
    <x v="1"/>
    <x v="0"/>
    <x v="6"/>
    <x v="1"/>
    <x v="0"/>
    <x v="2"/>
  </r>
  <r>
    <x v="69"/>
    <x v="15"/>
    <x v="12"/>
    <n v="97.7"/>
    <n v="390.8"/>
    <x v="2"/>
    <d v="2025-01-05T00:00:00"/>
    <x v="1"/>
    <x v="3"/>
    <x v="0"/>
    <x v="0"/>
    <x v="6"/>
    <x v="1"/>
    <x v="0"/>
    <x v="1"/>
  </r>
  <r>
    <x v="70"/>
    <x v="17"/>
    <x v="2"/>
    <n v="47.4"/>
    <n v="142.19999999999999"/>
    <x v="2"/>
    <d v="2025-01-06T00:00:00"/>
    <x v="1"/>
    <x v="3"/>
    <x v="2"/>
    <x v="0"/>
    <x v="8"/>
    <x v="2"/>
    <x v="0"/>
    <x v="1"/>
  </r>
  <r>
    <x v="71"/>
    <x v="7"/>
    <x v="0"/>
    <n v="89.6"/>
    <n v="89.6"/>
    <x v="2"/>
    <d v="2025-01-06T00:00:00"/>
    <x v="2"/>
    <x v="0"/>
    <x v="2"/>
    <x v="0"/>
    <x v="8"/>
    <x v="2"/>
    <x v="0"/>
    <x v="2"/>
  </r>
  <r>
    <x v="72"/>
    <x v="10"/>
    <x v="16"/>
    <n v="28.4"/>
    <n v="511.2"/>
    <x v="2"/>
    <d v="2025-01-06T00:00:00"/>
    <x v="2"/>
    <x v="3"/>
    <x v="2"/>
    <x v="0"/>
    <x v="17"/>
    <x v="2"/>
    <x v="0"/>
    <x v="2"/>
  </r>
  <r>
    <x v="73"/>
    <x v="0"/>
    <x v="1"/>
    <n v="17.899999999999999"/>
    <n v="35.799999999999997"/>
    <x v="2"/>
    <d v="2025-01-04T00:00:00"/>
    <x v="2"/>
    <x v="0"/>
    <x v="2"/>
    <x v="0"/>
    <x v="9"/>
    <x v="3"/>
    <x v="0"/>
    <x v="2"/>
  </r>
  <r>
    <x v="74"/>
    <x v="9"/>
    <x v="1"/>
    <n v="48.4"/>
    <n v="96.8"/>
    <x v="2"/>
    <d v="2025-01-06T00:00:00"/>
    <x v="1"/>
    <x v="1"/>
    <x v="0"/>
    <x v="0"/>
    <x v="9"/>
    <x v="2"/>
    <x v="0"/>
    <x v="1"/>
  </r>
  <r>
    <x v="75"/>
    <x v="12"/>
    <x v="12"/>
    <n v="44.4"/>
    <n v="177.6"/>
    <x v="2"/>
    <d v="2025-01-04T00:00:00"/>
    <x v="3"/>
    <x v="1"/>
    <x v="1"/>
    <x v="0"/>
    <x v="11"/>
    <x v="3"/>
    <x v="0"/>
    <x v="3"/>
  </r>
  <r>
    <x v="76"/>
    <x v="2"/>
    <x v="8"/>
    <n v="103.7"/>
    <n v="829.6"/>
    <x v="2"/>
    <d v="2025-01-04T00:00:00"/>
    <x v="2"/>
    <x v="0"/>
    <x v="1"/>
    <x v="0"/>
    <x v="19"/>
    <x v="3"/>
    <x v="0"/>
    <x v="2"/>
  </r>
  <r>
    <x v="77"/>
    <x v="5"/>
    <x v="12"/>
    <n v="58.6"/>
    <n v="234.4"/>
    <x v="2"/>
    <d v="2025-01-05T00:00:00"/>
    <x v="1"/>
    <x v="3"/>
    <x v="0"/>
    <x v="0"/>
    <x v="19"/>
    <x v="1"/>
    <x v="0"/>
    <x v="1"/>
  </r>
  <r>
    <x v="78"/>
    <x v="9"/>
    <x v="12"/>
    <n v="54.8"/>
    <n v="219.2"/>
    <x v="2"/>
    <d v="2025-01-07T00:00:00"/>
    <x v="2"/>
    <x v="2"/>
    <x v="1"/>
    <x v="0"/>
    <x v="13"/>
    <x v="5"/>
    <x v="0"/>
    <x v="2"/>
  </r>
  <r>
    <x v="79"/>
    <x v="12"/>
    <x v="2"/>
    <n v="78.8"/>
    <n v="236.39999999999998"/>
    <x v="2"/>
    <d v="2025-01-09T00:00:00"/>
    <x v="2"/>
    <x v="4"/>
    <x v="1"/>
    <x v="0"/>
    <x v="21"/>
    <x v="4"/>
    <x v="0"/>
    <x v="2"/>
  </r>
  <r>
    <x v="80"/>
    <x v="18"/>
    <x v="9"/>
    <n v="36.799999999999997"/>
    <n v="184"/>
    <x v="2"/>
    <d v="2025-01-06T00:00:00"/>
    <x v="1"/>
    <x v="4"/>
    <x v="1"/>
    <x v="0"/>
    <x v="22"/>
    <x v="2"/>
    <x v="0"/>
    <x v="1"/>
  </r>
  <r>
    <x v="81"/>
    <x v="6"/>
    <x v="13"/>
    <n v="50.6"/>
    <n v="303.60000000000002"/>
    <x v="2"/>
    <d v="2025-01-05T00:00:00"/>
    <x v="2"/>
    <x v="3"/>
    <x v="0"/>
    <x v="0"/>
    <x v="3"/>
    <x v="1"/>
    <x v="0"/>
    <x v="2"/>
  </r>
  <r>
    <x v="82"/>
    <x v="15"/>
    <x v="2"/>
    <n v="36.799999999999997"/>
    <n v="110.39999999999999"/>
    <x v="2"/>
    <d v="2025-01-03T00:00:00"/>
    <x v="1"/>
    <x v="2"/>
    <x v="1"/>
    <x v="0"/>
    <x v="3"/>
    <x v="7"/>
    <x v="0"/>
    <x v="1"/>
  </r>
  <r>
    <x v="83"/>
    <x v="8"/>
    <x v="11"/>
    <n v="41.8"/>
    <n v="376.2"/>
    <x v="3"/>
    <d v="2025-01-10T00:00:00"/>
    <x v="2"/>
    <x v="3"/>
    <x v="0"/>
    <x v="0"/>
    <x v="3"/>
    <x v="4"/>
    <x v="0"/>
    <x v="2"/>
  </r>
  <r>
    <x v="84"/>
    <x v="18"/>
    <x v="0"/>
    <n v="77.3"/>
    <n v="77.3"/>
    <x v="3"/>
    <d v="2025-01-05T00:00:00"/>
    <x v="1"/>
    <x v="4"/>
    <x v="4"/>
    <x v="0"/>
    <x v="3"/>
    <x v="3"/>
    <x v="0"/>
    <x v="1"/>
  </r>
  <r>
    <x v="85"/>
    <x v="8"/>
    <x v="12"/>
    <n v="19.8"/>
    <n v="79.2"/>
    <x v="3"/>
    <d v="2025-01-10T00:00:00"/>
    <x v="1"/>
    <x v="1"/>
    <x v="2"/>
    <x v="0"/>
    <x v="3"/>
    <x v="4"/>
    <x v="0"/>
    <x v="1"/>
  </r>
  <r>
    <x v="86"/>
    <x v="13"/>
    <x v="12"/>
    <n v="15.5"/>
    <n v="62"/>
    <x v="3"/>
    <d v="2025-01-05T00:00:00"/>
    <x v="2"/>
    <x v="1"/>
    <x v="2"/>
    <x v="0"/>
    <x v="3"/>
    <x v="3"/>
    <x v="0"/>
    <x v="2"/>
  </r>
  <r>
    <x v="87"/>
    <x v="12"/>
    <x v="0"/>
    <n v="46.8"/>
    <n v="46.8"/>
    <x v="3"/>
    <d v="2025-01-08T00:00:00"/>
    <x v="1"/>
    <x v="0"/>
    <x v="2"/>
    <x v="0"/>
    <x v="3"/>
    <x v="5"/>
    <x v="0"/>
    <x v="1"/>
  </r>
  <r>
    <x v="88"/>
    <x v="9"/>
    <x v="11"/>
    <n v="28.6"/>
    <n v="257.40000000000003"/>
    <x v="3"/>
    <d v="2025-01-08T00:00:00"/>
    <x v="1"/>
    <x v="0"/>
    <x v="2"/>
    <x v="0"/>
    <x v="3"/>
    <x v="5"/>
    <x v="0"/>
    <x v="1"/>
  </r>
  <r>
    <x v="89"/>
    <x v="2"/>
    <x v="0"/>
    <n v="97.7"/>
    <n v="97.7"/>
    <x v="3"/>
    <d v="2025-01-07T00:00:00"/>
    <x v="2"/>
    <x v="1"/>
    <x v="0"/>
    <x v="0"/>
    <x v="3"/>
    <x v="2"/>
    <x v="0"/>
    <x v="2"/>
  </r>
  <r>
    <x v="90"/>
    <x v="9"/>
    <x v="9"/>
    <n v="54.7"/>
    <n v="273.5"/>
    <x v="3"/>
    <d v="2025-01-07T00:00:00"/>
    <x v="0"/>
    <x v="0"/>
    <x v="2"/>
    <x v="0"/>
    <x v="23"/>
    <x v="2"/>
    <x v="0"/>
    <x v="0"/>
  </r>
  <r>
    <x v="91"/>
    <x v="2"/>
    <x v="13"/>
    <n v="130.5"/>
    <n v="783"/>
    <x v="3"/>
    <d v="2025-01-06T00:00:00"/>
    <x v="2"/>
    <x v="0"/>
    <x v="1"/>
    <x v="0"/>
    <x v="23"/>
    <x v="1"/>
    <x v="0"/>
    <x v="2"/>
  </r>
  <r>
    <x v="92"/>
    <x v="11"/>
    <x v="1"/>
    <n v="50.4"/>
    <n v="100.8"/>
    <x v="3"/>
    <d v="2025-01-06T00:00:00"/>
    <x v="1"/>
    <x v="2"/>
    <x v="2"/>
    <x v="0"/>
    <x v="6"/>
    <x v="1"/>
    <x v="0"/>
    <x v="1"/>
  </r>
  <r>
    <x v="93"/>
    <x v="6"/>
    <x v="15"/>
    <n v="61.5"/>
    <n v="799.5"/>
    <x v="3"/>
    <d v="2025-01-05T00:00:00"/>
    <x v="0"/>
    <x v="3"/>
    <x v="1"/>
    <x v="0"/>
    <x v="11"/>
    <x v="3"/>
    <x v="0"/>
    <x v="0"/>
  </r>
  <r>
    <x v="94"/>
    <x v="9"/>
    <x v="12"/>
    <n v="30.1"/>
    <n v="120.4"/>
    <x v="3"/>
    <d v="2025-01-05T00:00:00"/>
    <x v="2"/>
    <x v="0"/>
    <x v="2"/>
    <x v="0"/>
    <x v="21"/>
    <x v="3"/>
    <x v="0"/>
    <x v="2"/>
  </r>
  <r>
    <x v="95"/>
    <x v="2"/>
    <x v="9"/>
    <n v="74.8"/>
    <n v="374"/>
    <x v="3"/>
    <d v="2025-01-05T00:00:00"/>
    <x v="2"/>
    <x v="1"/>
    <x v="0"/>
    <x v="0"/>
    <x v="1"/>
    <x v="3"/>
    <x v="0"/>
    <x v="2"/>
  </r>
  <r>
    <x v="96"/>
    <x v="16"/>
    <x v="2"/>
    <n v="64.900000000000006"/>
    <n v="194.70000000000002"/>
    <x v="3"/>
    <d v="2025-01-11T00:00:00"/>
    <x v="1"/>
    <x v="0"/>
    <x v="0"/>
    <x v="0"/>
    <x v="2"/>
    <x v="6"/>
    <x v="0"/>
    <x v="1"/>
  </r>
  <r>
    <x v="97"/>
    <x v="9"/>
    <x v="1"/>
    <n v="50.5"/>
    <n v="101"/>
    <x v="3"/>
    <d v="2025-01-06T00:00:00"/>
    <x v="1"/>
    <x v="1"/>
    <x v="0"/>
    <x v="0"/>
    <x v="22"/>
    <x v="1"/>
    <x v="0"/>
    <x v="1"/>
  </r>
  <r>
    <x v="98"/>
    <x v="11"/>
    <x v="3"/>
    <n v="63"/>
    <n v="441"/>
    <x v="3"/>
    <d v="2025-01-07T00:00:00"/>
    <x v="1"/>
    <x v="3"/>
    <x v="2"/>
    <x v="0"/>
    <x v="3"/>
    <x v="2"/>
    <x v="0"/>
    <x v="1"/>
  </r>
  <r>
    <x v="99"/>
    <x v="2"/>
    <x v="2"/>
    <n v="93.6"/>
    <n v="280.79999999999995"/>
    <x v="3"/>
    <d v="2025-01-17T00:00:00"/>
    <x v="2"/>
    <x v="0"/>
    <x v="2"/>
    <x v="0"/>
    <x v="3"/>
    <x v="10"/>
    <x v="0"/>
    <x v="2"/>
  </r>
  <r>
    <x v="100"/>
    <x v="5"/>
    <x v="17"/>
    <n v="41.4"/>
    <n v="1242"/>
    <x v="3"/>
    <d v="2025-01-08T00:00:00"/>
    <x v="1"/>
    <x v="2"/>
    <x v="2"/>
    <x v="0"/>
    <x v="3"/>
    <x v="5"/>
    <x v="0"/>
    <x v="1"/>
  </r>
  <r>
    <x v="101"/>
    <x v="2"/>
    <x v="1"/>
    <n v="160"/>
    <n v="320"/>
    <x v="4"/>
    <d v="2025-01-06T00:00:00"/>
    <x v="1"/>
    <x v="2"/>
    <x v="2"/>
    <x v="0"/>
    <x v="5"/>
    <x v="3"/>
    <x v="1"/>
    <x v="1"/>
  </r>
  <r>
    <x v="102"/>
    <x v="19"/>
    <x v="5"/>
    <n v="10.5"/>
    <n v="115.5"/>
    <x v="4"/>
    <d v="2025-01-08T00:00:00"/>
    <x v="2"/>
    <x v="4"/>
    <x v="0"/>
    <x v="0"/>
    <x v="8"/>
    <x v="2"/>
    <x v="1"/>
    <x v="2"/>
  </r>
  <r>
    <x v="103"/>
    <x v="10"/>
    <x v="1"/>
    <n v="53"/>
    <n v="106"/>
    <x v="4"/>
    <d v="2025-01-05T00:00:00"/>
    <x v="1"/>
    <x v="2"/>
    <x v="4"/>
    <x v="0"/>
    <x v="17"/>
    <x v="7"/>
    <x v="1"/>
    <x v="1"/>
  </r>
  <r>
    <x v="104"/>
    <x v="8"/>
    <x v="2"/>
    <n v="18.5"/>
    <n v="55.5"/>
    <x v="4"/>
    <d v="2025-01-10T00:00:00"/>
    <x v="2"/>
    <x v="1"/>
    <x v="2"/>
    <x v="0"/>
    <x v="11"/>
    <x v="0"/>
    <x v="1"/>
    <x v="2"/>
  </r>
  <r>
    <x v="105"/>
    <x v="16"/>
    <x v="2"/>
    <n v="84.5"/>
    <n v="253.5"/>
    <x v="4"/>
    <d v="2025-01-07T00:00:00"/>
    <x v="2"/>
    <x v="4"/>
    <x v="1"/>
    <x v="0"/>
    <x v="13"/>
    <x v="1"/>
    <x v="1"/>
    <x v="2"/>
  </r>
  <r>
    <x v="106"/>
    <x v="15"/>
    <x v="3"/>
    <n v="31.2"/>
    <n v="218.4"/>
    <x v="4"/>
    <d v="2025-01-05T00:00:00"/>
    <x v="2"/>
    <x v="2"/>
    <x v="2"/>
    <x v="0"/>
    <x v="3"/>
    <x v="7"/>
    <x v="1"/>
    <x v="2"/>
  </r>
  <r>
    <x v="107"/>
    <x v="8"/>
    <x v="16"/>
    <n v="32.6"/>
    <n v="586.80000000000007"/>
    <x v="4"/>
    <d v="2025-01-06T00:00:00"/>
    <x v="1"/>
    <x v="1"/>
    <x v="1"/>
    <x v="0"/>
    <x v="3"/>
    <x v="3"/>
    <x v="1"/>
    <x v="1"/>
  </r>
  <r>
    <x v="108"/>
    <x v="10"/>
    <x v="12"/>
    <n v="45.4"/>
    <n v="181.6"/>
    <x v="4"/>
    <d v="2025-01-07T00:00:00"/>
    <x v="1"/>
    <x v="1"/>
    <x v="0"/>
    <x v="0"/>
    <x v="3"/>
    <x v="1"/>
    <x v="1"/>
    <x v="1"/>
  </r>
  <r>
    <x v="109"/>
    <x v="2"/>
    <x v="4"/>
    <n v="120"/>
    <n v="1440"/>
    <x v="4"/>
    <d v="2025-01-06T00:00:00"/>
    <x v="2"/>
    <x v="2"/>
    <x v="4"/>
    <x v="0"/>
    <x v="3"/>
    <x v="3"/>
    <x v="1"/>
    <x v="2"/>
  </r>
  <r>
    <x v="110"/>
    <x v="0"/>
    <x v="12"/>
    <n v="18.899999999999999"/>
    <n v="75.599999999999994"/>
    <x v="4"/>
    <d v="2025-01-07T00:00:00"/>
    <x v="1"/>
    <x v="0"/>
    <x v="2"/>
    <x v="0"/>
    <x v="3"/>
    <x v="1"/>
    <x v="1"/>
    <x v="1"/>
  </r>
  <r>
    <x v="111"/>
    <x v="4"/>
    <x v="0"/>
    <n v="32"/>
    <n v="32"/>
    <x v="4"/>
    <d v="2025-01-07T00:00:00"/>
    <x v="2"/>
    <x v="4"/>
    <x v="0"/>
    <x v="0"/>
    <x v="3"/>
    <x v="1"/>
    <x v="1"/>
    <x v="2"/>
  </r>
  <r>
    <x v="112"/>
    <x v="7"/>
    <x v="1"/>
    <n v="37.299999999999997"/>
    <n v="74.599999999999994"/>
    <x v="4"/>
    <d v="2025-01-06T00:00:00"/>
    <x v="1"/>
    <x v="2"/>
    <x v="0"/>
    <x v="0"/>
    <x v="3"/>
    <x v="3"/>
    <x v="1"/>
    <x v="1"/>
  </r>
  <r>
    <x v="113"/>
    <x v="18"/>
    <x v="0"/>
    <n v="119.8"/>
    <n v="119.8"/>
    <x v="4"/>
    <d v="2025-01-06T00:00:00"/>
    <x v="1"/>
    <x v="1"/>
    <x v="1"/>
    <x v="0"/>
    <x v="3"/>
    <x v="3"/>
    <x v="1"/>
    <x v="1"/>
  </r>
  <r>
    <x v="114"/>
    <x v="10"/>
    <x v="1"/>
    <n v="26.4"/>
    <n v="52.8"/>
    <x v="4"/>
    <d v="2025-01-08T00:00:00"/>
    <x v="1"/>
    <x v="2"/>
    <x v="0"/>
    <x v="0"/>
    <x v="3"/>
    <x v="2"/>
    <x v="1"/>
    <x v="1"/>
  </r>
  <r>
    <x v="115"/>
    <x v="6"/>
    <x v="13"/>
    <n v="76.5"/>
    <n v="459"/>
    <x v="4"/>
    <d v="2025-01-06T00:00:00"/>
    <x v="2"/>
    <x v="1"/>
    <x v="1"/>
    <x v="0"/>
    <x v="3"/>
    <x v="3"/>
    <x v="1"/>
    <x v="2"/>
  </r>
  <r>
    <x v="116"/>
    <x v="4"/>
    <x v="7"/>
    <n v="45.7"/>
    <n v="457"/>
    <x v="4"/>
    <d v="2025-01-06T00:00:00"/>
    <x v="2"/>
    <x v="2"/>
    <x v="0"/>
    <x v="0"/>
    <x v="24"/>
    <x v="3"/>
    <x v="1"/>
    <x v="2"/>
  </r>
  <r>
    <x v="117"/>
    <x v="1"/>
    <x v="4"/>
    <n v="92.6"/>
    <n v="1111.1999999999998"/>
    <x v="4"/>
    <d v="2025-01-07T00:00:00"/>
    <x v="2"/>
    <x v="2"/>
    <x v="0"/>
    <x v="0"/>
    <x v="25"/>
    <x v="1"/>
    <x v="1"/>
    <x v="2"/>
  </r>
  <r>
    <x v="118"/>
    <x v="6"/>
    <x v="13"/>
    <n v="60.1"/>
    <n v="360.6"/>
    <x v="4"/>
    <d v="2025-01-06T00:00:00"/>
    <x v="1"/>
    <x v="1"/>
    <x v="0"/>
    <x v="0"/>
    <x v="23"/>
    <x v="3"/>
    <x v="1"/>
    <x v="1"/>
  </r>
  <r>
    <x v="119"/>
    <x v="1"/>
    <x v="2"/>
    <n v="73"/>
    <n v="219"/>
    <x v="4"/>
    <d v="2025-01-06T00:00:00"/>
    <x v="2"/>
    <x v="3"/>
    <x v="1"/>
    <x v="0"/>
    <x v="6"/>
    <x v="3"/>
    <x v="1"/>
    <x v="2"/>
  </r>
  <r>
    <x v="120"/>
    <x v="6"/>
    <x v="2"/>
    <n v="44.3"/>
    <n v="132.89999999999998"/>
    <x v="4"/>
    <d v="2025-01-09T00:00:00"/>
    <x v="0"/>
    <x v="2"/>
    <x v="2"/>
    <x v="0"/>
    <x v="6"/>
    <x v="5"/>
    <x v="1"/>
    <x v="0"/>
  </r>
  <r>
    <x v="121"/>
    <x v="6"/>
    <x v="2"/>
    <n v="63.3"/>
    <n v="189.89999999999998"/>
    <x v="4"/>
    <d v="2025-01-06T00:00:00"/>
    <x v="1"/>
    <x v="2"/>
    <x v="0"/>
    <x v="0"/>
    <x v="6"/>
    <x v="3"/>
    <x v="1"/>
    <x v="1"/>
  </r>
  <r>
    <x v="122"/>
    <x v="12"/>
    <x v="0"/>
    <n v="66.8"/>
    <n v="66.8"/>
    <x v="4"/>
    <d v="2025-01-06T00:00:00"/>
    <x v="2"/>
    <x v="1"/>
    <x v="0"/>
    <x v="0"/>
    <x v="6"/>
    <x v="3"/>
    <x v="1"/>
    <x v="2"/>
  </r>
  <r>
    <x v="123"/>
    <x v="2"/>
    <x v="1"/>
    <n v="59.7"/>
    <n v="119.4"/>
    <x v="4"/>
    <d v="2025-01-06T00:00:00"/>
    <x v="2"/>
    <x v="0"/>
    <x v="0"/>
    <x v="0"/>
    <x v="7"/>
    <x v="3"/>
    <x v="1"/>
    <x v="2"/>
  </r>
  <r>
    <x v="124"/>
    <x v="1"/>
    <x v="13"/>
    <n v="92"/>
    <n v="552"/>
    <x v="4"/>
    <d v="2025-01-07T00:00:00"/>
    <x v="1"/>
    <x v="0"/>
    <x v="4"/>
    <x v="0"/>
    <x v="7"/>
    <x v="1"/>
    <x v="1"/>
    <x v="1"/>
  </r>
  <r>
    <x v="125"/>
    <x v="7"/>
    <x v="1"/>
    <n v="87.6"/>
    <n v="175.2"/>
    <x v="4"/>
    <d v="2025-01-07T00:00:00"/>
    <x v="1"/>
    <x v="1"/>
    <x v="1"/>
    <x v="0"/>
    <x v="8"/>
    <x v="1"/>
    <x v="1"/>
    <x v="1"/>
  </r>
  <r>
    <x v="126"/>
    <x v="6"/>
    <x v="2"/>
    <n v="84.5"/>
    <n v="253.5"/>
    <x v="4"/>
    <d v="2025-01-06T00:00:00"/>
    <x v="2"/>
    <x v="1"/>
    <x v="1"/>
    <x v="0"/>
    <x v="8"/>
    <x v="3"/>
    <x v="1"/>
    <x v="2"/>
  </r>
  <r>
    <x v="127"/>
    <x v="1"/>
    <x v="1"/>
    <n v="116.3"/>
    <n v="232.6"/>
    <x v="5"/>
    <d v="2025-01-08T00:00:00"/>
    <x v="1"/>
    <x v="2"/>
    <x v="2"/>
    <x v="0"/>
    <x v="8"/>
    <x v="1"/>
    <x v="1"/>
    <x v="1"/>
  </r>
  <r>
    <x v="128"/>
    <x v="6"/>
    <x v="9"/>
    <n v="52.7"/>
    <n v="263.5"/>
    <x v="5"/>
    <d v="2025-01-10T00:00:00"/>
    <x v="1"/>
    <x v="0"/>
    <x v="0"/>
    <x v="0"/>
    <x v="8"/>
    <x v="5"/>
    <x v="1"/>
    <x v="1"/>
  </r>
  <r>
    <x v="129"/>
    <x v="16"/>
    <x v="2"/>
    <n v="34.200000000000003"/>
    <n v="102.60000000000001"/>
    <x v="5"/>
    <d v="2025-01-07T00:00:00"/>
    <x v="1"/>
    <x v="0"/>
    <x v="2"/>
    <x v="0"/>
    <x v="26"/>
    <x v="3"/>
    <x v="1"/>
    <x v="1"/>
  </r>
  <r>
    <x v="130"/>
    <x v="9"/>
    <x v="0"/>
    <n v="23.3"/>
    <n v="23.3"/>
    <x v="5"/>
    <d v="2025-01-15T00:00:00"/>
    <x v="3"/>
    <x v="2"/>
    <x v="2"/>
    <x v="0"/>
    <x v="9"/>
    <x v="8"/>
    <x v="1"/>
    <x v="3"/>
  </r>
  <r>
    <x v="131"/>
    <x v="0"/>
    <x v="18"/>
    <n v="25.9"/>
    <n v="673.4"/>
    <x v="5"/>
    <d v="2025-01-09T00:00:00"/>
    <x v="2"/>
    <x v="4"/>
    <x v="1"/>
    <x v="0"/>
    <x v="9"/>
    <x v="2"/>
    <x v="1"/>
    <x v="2"/>
  </r>
  <r>
    <x v="132"/>
    <x v="6"/>
    <x v="19"/>
    <n v="54.9"/>
    <n v="1592.1"/>
    <x v="5"/>
    <d v="2025-01-07T00:00:00"/>
    <x v="1"/>
    <x v="1"/>
    <x v="2"/>
    <x v="0"/>
    <x v="9"/>
    <x v="3"/>
    <x v="1"/>
    <x v="1"/>
  </r>
  <r>
    <x v="133"/>
    <x v="5"/>
    <x v="2"/>
    <n v="75.8"/>
    <n v="227.39999999999998"/>
    <x v="5"/>
    <d v="2025-01-11T00:00:00"/>
    <x v="3"/>
    <x v="1"/>
    <x v="0"/>
    <x v="0"/>
    <x v="18"/>
    <x v="0"/>
    <x v="1"/>
    <x v="3"/>
  </r>
  <r>
    <x v="134"/>
    <x v="1"/>
    <x v="11"/>
    <n v="44.9"/>
    <n v="404.09999999999997"/>
    <x v="5"/>
    <d v="2025-01-09T00:00:00"/>
    <x v="2"/>
    <x v="2"/>
    <x v="2"/>
    <x v="0"/>
    <x v="2"/>
    <x v="2"/>
    <x v="1"/>
    <x v="2"/>
  </r>
  <r>
    <x v="135"/>
    <x v="11"/>
    <x v="1"/>
    <n v="48.8"/>
    <n v="97.6"/>
    <x v="5"/>
    <d v="2025-01-08T00:00:00"/>
    <x v="2"/>
    <x v="3"/>
    <x v="0"/>
    <x v="0"/>
    <x v="27"/>
    <x v="1"/>
    <x v="1"/>
    <x v="2"/>
  </r>
  <r>
    <x v="136"/>
    <x v="15"/>
    <x v="0"/>
    <n v="20.3"/>
    <n v="20.3"/>
    <x v="5"/>
    <d v="2025-01-07T00:00:00"/>
    <x v="2"/>
    <x v="0"/>
    <x v="2"/>
    <x v="0"/>
    <x v="22"/>
    <x v="3"/>
    <x v="1"/>
    <x v="2"/>
  </r>
  <r>
    <x v="137"/>
    <x v="5"/>
    <x v="3"/>
    <n v="36.4"/>
    <n v="254.79999999999998"/>
    <x v="5"/>
    <d v="2025-01-09T00:00:00"/>
    <x v="2"/>
    <x v="0"/>
    <x v="1"/>
    <x v="0"/>
    <x v="3"/>
    <x v="2"/>
    <x v="1"/>
    <x v="2"/>
  </r>
  <r>
    <x v="138"/>
    <x v="0"/>
    <x v="0"/>
    <n v="19"/>
    <n v="19"/>
    <x v="5"/>
    <d v="2025-01-11T00:00:00"/>
    <x v="2"/>
    <x v="1"/>
    <x v="2"/>
    <x v="0"/>
    <x v="3"/>
    <x v="0"/>
    <x v="1"/>
    <x v="2"/>
  </r>
  <r>
    <x v="139"/>
    <x v="8"/>
    <x v="0"/>
    <n v="17.8"/>
    <n v="17.8"/>
    <x v="5"/>
    <d v="2025-01-06T00:00:00"/>
    <x v="1"/>
    <x v="0"/>
    <x v="0"/>
    <x v="0"/>
    <x v="3"/>
    <x v="7"/>
    <x v="1"/>
    <x v="1"/>
  </r>
  <r>
    <x v="140"/>
    <x v="2"/>
    <x v="13"/>
    <n v="139.6"/>
    <n v="837.59999999999991"/>
    <x v="5"/>
    <d v="2025-01-09T00:00:00"/>
    <x v="1"/>
    <x v="0"/>
    <x v="0"/>
    <x v="0"/>
    <x v="3"/>
    <x v="2"/>
    <x v="1"/>
    <x v="1"/>
  </r>
  <r>
    <x v="141"/>
    <x v="9"/>
    <x v="0"/>
    <n v="31.7"/>
    <n v="31.7"/>
    <x v="5"/>
    <d v="2025-01-06T00:00:00"/>
    <x v="0"/>
    <x v="0"/>
    <x v="0"/>
    <x v="0"/>
    <x v="3"/>
    <x v="7"/>
    <x v="1"/>
    <x v="0"/>
  </r>
  <r>
    <x v="142"/>
    <x v="8"/>
    <x v="8"/>
    <n v="26.3"/>
    <n v="210.4"/>
    <x v="5"/>
    <d v="2025-01-09T00:00:00"/>
    <x v="2"/>
    <x v="4"/>
    <x v="4"/>
    <x v="0"/>
    <x v="3"/>
    <x v="2"/>
    <x v="1"/>
    <x v="2"/>
  </r>
  <r>
    <x v="143"/>
    <x v="4"/>
    <x v="1"/>
    <n v="47.8"/>
    <n v="95.6"/>
    <x v="5"/>
    <d v="2025-01-07T00:00:00"/>
    <x v="0"/>
    <x v="0"/>
    <x v="0"/>
    <x v="0"/>
    <x v="3"/>
    <x v="3"/>
    <x v="1"/>
    <x v="0"/>
  </r>
  <r>
    <x v="144"/>
    <x v="9"/>
    <x v="2"/>
    <n v="69.400000000000006"/>
    <n v="208.20000000000002"/>
    <x v="5"/>
    <d v="2025-01-10T00:00:00"/>
    <x v="2"/>
    <x v="0"/>
    <x v="0"/>
    <x v="0"/>
    <x v="3"/>
    <x v="5"/>
    <x v="1"/>
    <x v="2"/>
  </r>
  <r>
    <x v="145"/>
    <x v="18"/>
    <x v="4"/>
    <n v="25.8"/>
    <n v="309.60000000000002"/>
    <x v="5"/>
    <d v="2025-01-07T00:00:00"/>
    <x v="1"/>
    <x v="4"/>
    <x v="4"/>
    <x v="0"/>
    <x v="3"/>
    <x v="3"/>
    <x v="1"/>
    <x v="1"/>
  </r>
  <r>
    <x v="146"/>
    <x v="0"/>
    <x v="12"/>
    <n v="26.4"/>
    <n v="105.6"/>
    <x v="5"/>
    <d v="2025-01-07T00:00:00"/>
    <x v="1"/>
    <x v="1"/>
    <x v="2"/>
    <x v="0"/>
    <x v="3"/>
    <x v="3"/>
    <x v="1"/>
    <x v="1"/>
  </r>
  <r>
    <x v="147"/>
    <x v="8"/>
    <x v="12"/>
    <n v="15.7"/>
    <n v="62.8"/>
    <x v="5"/>
    <d v="2025-01-07T00:00:00"/>
    <x v="1"/>
    <x v="2"/>
    <x v="0"/>
    <x v="0"/>
    <x v="3"/>
    <x v="3"/>
    <x v="1"/>
    <x v="1"/>
  </r>
  <r>
    <x v="148"/>
    <x v="8"/>
    <x v="0"/>
    <n v="39.700000000000003"/>
    <n v="39.700000000000003"/>
    <x v="5"/>
    <d v="2025-01-10T00:00:00"/>
    <x v="1"/>
    <x v="0"/>
    <x v="0"/>
    <x v="0"/>
    <x v="3"/>
    <x v="5"/>
    <x v="1"/>
    <x v="1"/>
  </r>
  <r>
    <x v="149"/>
    <x v="10"/>
    <x v="12"/>
    <n v="31.1"/>
    <n v="124.4"/>
    <x v="5"/>
    <d v="2025-01-08T00:00:00"/>
    <x v="2"/>
    <x v="2"/>
    <x v="1"/>
    <x v="0"/>
    <x v="3"/>
    <x v="1"/>
    <x v="1"/>
    <x v="2"/>
  </r>
  <r>
    <x v="150"/>
    <x v="13"/>
    <x v="20"/>
    <n v="23.4"/>
    <n v="351"/>
    <x v="5"/>
    <d v="2025-01-15T00:00:00"/>
    <x v="1"/>
    <x v="0"/>
    <x v="0"/>
    <x v="0"/>
    <x v="3"/>
    <x v="8"/>
    <x v="1"/>
    <x v="1"/>
  </r>
  <r>
    <x v="151"/>
    <x v="1"/>
    <x v="12"/>
    <n v="57.1"/>
    <n v="228.4"/>
    <x v="6"/>
    <d v="2025-01-08T00:00:00"/>
    <x v="1"/>
    <x v="2"/>
    <x v="0"/>
    <x v="0"/>
    <x v="25"/>
    <x v="3"/>
    <x v="1"/>
    <x v="1"/>
  </r>
  <r>
    <x v="152"/>
    <x v="2"/>
    <x v="9"/>
    <n v="89.9"/>
    <n v="449.5"/>
    <x v="6"/>
    <d v="2025-01-07T00:00:00"/>
    <x v="2"/>
    <x v="0"/>
    <x v="3"/>
    <x v="0"/>
    <x v="23"/>
    <x v="7"/>
    <x v="1"/>
    <x v="2"/>
  </r>
  <r>
    <x v="153"/>
    <x v="10"/>
    <x v="3"/>
    <n v="48.1"/>
    <n v="336.7"/>
    <x v="6"/>
    <d v="2025-01-09T00:00:00"/>
    <x v="2"/>
    <x v="1"/>
    <x v="2"/>
    <x v="0"/>
    <x v="6"/>
    <x v="1"/>
    <x v="1"/>
    <x v="2"/>
  </r>
  <r>
    <x v="154"/>
    <x v="8"/>
    <x v="1"/>
    <n v="29.3"/>
    <n v="58.6"/>
    <x v="6"/>
    <d v="2025-01-07T00:00:00"/>
    <x v="2"/>
    <x v="1"/>
    <x v="1"/>
    <x v="0"/>
    <x v="6"/>
    <x v="7"/>
    <x v="1"/>
    <x v="2"/>
  </r>
  <r>
    <x v="155"/>
    <x v="8"/>
    <x v="12"/>
    <n v="28.8"/>
    <n v="115.2"/>
    <x v="6"/>
    <d v="2025-01-08T00:00:00"/>
    <x v="2"/>
    <x v="0"/>
    <x v="4"/>
    <x v="0"/>
    <x v="6"/>
    <x v="3"/>
    <x v="1"/>
    <x v="2"/>
  </r>
  <r>
    <x v="156"/>
    <x v="10"/>
    <x v="9"/>
    <n v="40.5"/>
    <n v="202.5"/>
    <x v="6"/>
    <d v="2025-01-11T00:00:00"/>
    <x v="2"/>
    <x v="3"/>
    <x v="0"/>
    <x v="0"/>
    <x v="6"/>
    <x v="5"/>
    <x v="1"/>
    <x v="2"/>
  </r>
  <r>
    <x v="157"/>
    <x v="18"/>
    <x v="21"/>
    <n v="65.099999999999994"/>
    <n v="911.39999999999986"/>
    <x v="6"/>
    <d v="2025-01-08T00:00:00"/>
    <x v="2"/>
    <x v="4"/>
    <x v="0"/>
    <x v="0"/>
    <x v="7"/>
    <x v="3"/>
    <x v="1"/>
    <x v="2"/>
  </r>
  <r>
    <x v="158"/>
    <x v="8"/>
    <x v="12"/>
    <n v="40.299999999999997"/>
    <n v="161.19999999999999"/>
    <x v="6"/>
    <d v="2025-01-12T00:00:00"/>
    <x v="2"/>
    <x v="2"/>
    <x v="0"/>
    <x v="0"/>
    <x v="7"/>
    <x v="0"/>
    <x v="1"/>
    <x v="2"/>
  </r>
  <r>
    <x v="159"/>
    <x v="6"/>
    <x v="9"/>
    <n v="51.8"/>
    <n v="259"/>
    <x v="6"/>
    <d v="2025-01-08T00:00:00"/>
    <x v="1"/>
    <x v="2"/>
    <x v="2"/>
    <x v="0"/>
    <x v="8"/>
    <x v="3"/>
    <x v="1"/>
    <x v="1"/>
  </r>
  <r>
    <x v="160"/>
    <x v="6"/>
    <x v="2"/>
    <n v="61.3"/>
    <n v="183.89999999999998"/>
    <x v="6"/>
    <d v="2025-01-08T00:00:00"/>
    <x v="2"/>
    <x v="3"/>
    <x v="0"/>
    <x v="0"/>
    <x v="8"/>
    <x v="3"/>
    <x v="1"/>
    <x v="2"/>
  </r>
  <r>
    <x v="161"/>
    <x v="2"/>
    <x v="12"/>
    <n v="122.5"/>
    <n v="490"/>
    <x v="6"/>
    <d v="2025-01-08T00:00:00"/>
    <x v="1"/>
    <x v="0"/>
    <x v="0"/>
    <x v="0"/>
    <x v="8"/>
    <x v="3"/>
    <x v="1"/>
    <x v="1"/>
  </r>
  <r>
    <x v="162"/>
    <x v="0"/>
    <x v="11"/>
    <n v="12.5"/>
    <n v="112.5"/>
    <x v="6"/>
    <d v="2025-01-08T00:00:00"/>
    <x v="0"/>
    <x v="1"/>
    <x v="2"/>
    <x v="0"/>
    <x v="8"/>
    <x v="3"/>
    <x v="1"/>
    <x v="0"/>
  </r>
  <r>
    <x v="163"/>
    <x v="15"/>
    <x v="8"/>
    <n v="37.5"/>
    <n v="300"/>
    <x v="6"/>
    <d v="2025-01-08T00:00:00"/>
    <x v="2"/>
    <x v="0"/>
    <x v="0"/>
    <x v="0"/>
    <x v="9"/>
    <x v="3"/>
    <x v="1"/>
    <x v="2"/>
  </r>
  <r>
    <x v="164"/>
    <x v="6"/>
    <x v="2"/>
    <n v="40"/>
    <n v="120"/>
    <x v="6"/>
    <d v="2025-01-10T00:00:00"/>
    <x v="1"/>
    <x v="0"/>
    <x v="4"/>
    <x v="0"/>
    <x v="11"/>
    <x v="2"/>
    <x v="1"/>
    <x v="1"/>
  </r>
  <r>
    <x v="165"/>
    <x v="17"/>
    <x v="8"/>
    <n v="38.5"/>
    <n v="308"/>
    <x v="6"/>
    <d v="2025-01-12T00:00:00"/>
    <x v="2"/>
    <x v="2"/>
    <x v="1"/>
    <x v="0"/>
    <x v="11"/>
    <x v="0"/>
    <x v="1"/>
    <x v="2"/>
  </r>
  <r>
    <x v="166"/>
    <x v="2"/>
    <x v="1"/>
    <n v="86.4"/>
    <n v="172.8"/>
    <x v="6"/>
    <d v="2025-01-09T00:00:00"/>
    <x v="2"/>
    <x v="0"/>
    <x v="0"/>
    <x v="0"/>
    <x v="18"/>
    <x v="1"/>
    <x v="1"/>
    <x v="2"/>
  </r>
  <r>
    <x v="167"/>
    <x v="10"/>
    <x v="0"/>
    <n v="50.7"/>
    <n v="50.7"/>
    <x v="6"/>
    <d v="2025-01-11T00:00:00"/>
    <x v="2"/>
    <x v="1"/>
    <x v="0"/>
    <x v="0"/>
    <x v="18"/>
    <x v="5"/>
    <x v="1"/>
    <x v="2"/>
  </r>
  <r>
    <x v="168"/>
    <x v="10"/>
    <x v="1"/>
    <n v="61"/>
    <n v="122"/>
    <x v="6"/>
    <d v="2025-01-18T00:00:00"/>
    <x v="2"/>
    <x v="4"/>
    <x v="1"/>
    <x v="0"/>
    <x v="18"/>
    <x v="11"/>
    <x v="1"/>
    <x v="2"/>
  </r>
  <r>
    <x v="169"/>
    <x v="4"/>
    <x v="1"/>
    <n v="19.899999999999999"/>
    <n v="39.799999999999997"/>
    <x v="6"/>
    <d v="2025-01-10T00:00:00"/>
    <x v="2"/>
    <x v="1"/>
    <x v="0"/>
    <x v="0"/>
    <x v="28"/>
    <x v="2"/>
    <x v="1"/>
    <x v="2"/>
  </r>
  <r>
    <x v="170"/>
    <x v="5"/>
    <x v="0"/>
    <n v="78.3"/>
    <n v="78.3"/>
    <x v="6"/>
    <d v="2025-01-07T00:00:00"/>
    <x v="2"/>
    <x v="0"/>
    <x v="2"/>
    <x v="0"/>
    <x v="1"/>
    <x v="7"/>
    <x v="1"/>
    <x v="2"/>
  </r>
  <r>
    <x v="171"/>
    <x v="0"/>
    <x v="10"/>
    <n v="10.4"/>
    <n v="197.6"/>
    <x v="6"/>
    <d v="2025-01-09T00:00:00"/>
    <x v="1"/>
    <x v="0"/>
    <x v="2"/>
    <x v="0"/>
    <x v="2"/>
    <x v="1"/>
    <x v="1"/>
    <x v="1"/>
  </r>
  <r>
    <x v="172"/>
    <x v="10"/>
    <x v="0"/>
    <n v="36.1"/>
    <n v="36.1"/>
    <x v="6"/>
    <d v="2025-01-10T00:00:00"/>
    <x v="1"/>
    <x v="3"/>
    <x v="2"/>
    <x v="0"/>
    <x v="3"/>
    <x v="2"/>
    <x v="1"/>
    <x v="1"/>
  </r>
  <r>
    <x v="173"/>
    <x v="14"/>
    <x v="1"/>
    <n v="17.3"/>
    <n v="34.6"/>
    <x v="6"/>
    <d v="2025-01-09T00:00:00"/>
    <x v="2"/>
    <x v="1"/>
    <x v="2"/>
    <x v="0"/>
    <x v="3"/>
    <x v="1"/>
    <x v="1"/>
    <x v="2"/>
  </r>
  <r>
    <x v="174"/>
    <x v="10"/>
    <x v="1"/>
    <n v="30.5"/>
    <n v="61"/>
    <x v="6"/>
    <d v="2025-01-08T00:00:00"/>
    <x v="2"/>
    <x v="1"/>
    <x v="2"/>
    <x v="0"/>
    <x v="3"/>
    <x v="3"/>
    <x v="1"/>
    <x v="2"/>
  </r>
  <r>
    <x v="175"/>
    <x v="18"/>
    <x v="22"/>
    <n v="70.099999999999994"/>
    <n v="4346.2"/>
    <x v="6"/>
    <d v="2025-01-07T00:00:00"/>
    <x v="2"/>
    <x v="2"/>
    <x v="0"/>
    <x v="0"/>
    <x v="3"/>
    <x v="7"/>
    <x v="1"/>
    <x v="2"/>
  </r>
  <r>
    <x v="176"/>
    <x v="3"/>
    <x v="0"/>
    <n v="76.099999999999994"/>
    <n v="76.099999999999994"/>
    <x v="6"/>
    <d v="2025-01-07T00:00:00"/>
    <x v="2"/>
    <x v="2"/>
    <x v="1"/>
    <x v="0"/>
    <x v="3"/>
    <x v="7"/>
    <x v="1"/>
    <x v="2"/>
  </r>
  <r>
    <x v="177"/>
    <x v="15"/>
    <x v="15"/>
    <n v="34.200000000000003"/>
    <n v="444.6"/>
    <x v="6"/>
    <d v="2025-01-08T00:00:00"/>
    <x v="1"/>
    <x v="0"/>
    <x v="0"/>
    <x v="0"/>
    <x v="3"/>
    <x v="3"/>
    <x v="1"/>
    <x v="1"/>
  </r>
  <r>
    <x v="178"/>
    <x v="8"/>
    <x v="9"/>
    <n v="30.3"/>
    <n v="151.5"/>
    <x v="6"/>
    <d v="2025-01-12T00:00:00"/>
    <x v="2"/>
    <x v="4"/>
    <x v="0"/>
    <x v="0"/>
    <x v="3"/>
    <x v="0"/>
    <x v="1"/>
    <x v="2"/>
  </r>
  <r>
    <x v="179"/>
    <x v="6"/>
    <x v="9"/>
    <n v="52.5"/>
    <n v="262.5"/>
    <x v="6"/>
    <d v="2025-01-11T00:00:00"/>
    <x v="0"/>
    <x v="3"/>
    <x v="0"/>
    <x v="0"/>
    <x v="3"/>
    <x v="5"/>
    <x v="1"/>
    <x v="0"/>
  </r>
  <r>
    <x v="180"/>
    <x v="9"/>
    <x v="5"/>
    <n v="28.7"/>
    <n v="315.7"/>
    <x v="6"/>
    <d v="2025-01-08T00:00:00"/>
    <x v="2"/>
    <x v="2"/>
    <x v="0"/>
    <x v="0"/>
    <x v="3"/>
    <x v="3"/>
    <x v="1"/>
    <x v="2"/>
  </r>
  <r>
    <x v="181"/>
    <x v="7"/>
    <x v="3"/>
    <n v="52"/>
    <n v="364"/>
    <x v="6"/>
    <d v="2025-01-08T00:00:00"/>
    <x v="1"/>
    <x v="1"/>
    <x v="4"/>
    <x v="0"/>
    <x v="3"/>
    <x v="3"/>
    <x v="1"/>
    <x v="1"/>
  </r>
  <r>
    <x v="182"/>
    <x v="0"/>
    <x v="0"/>
    <n v="13.3"/>
    <n v="13.3"/>
    <x v="7"/>
    <d v="2025-01-12T00:00:00"/>
    <x v="2"/>
    <x v="2"/>
    <x v="1"/>
    <x v="0"/>
    <x v="3"/>
    <x v="5"/>
    <x v="1"/>
    <x v="2"/>
  </r>
  <r>
    <x v="183"/>
    <x v="0"/>
    <x v="2"/>
    <n v="15.7"/>
    <n v="47.099999999999994"/>
    <x v="7"/>
    <d v="2025-01-09T00:00:00"/>
    <x v="2"/>
    <x v="1"/>
    <x v="0"/>
    <x v="0"/>
    <x v="29"/>
    <x v="3"/>
    <x v="1"/>
    <x v="2"/>
  </r>
  <r>
    <x v="184"/>
    <x v="8"/>
    <x v="1"/>
    <n v="25.6"/>
    <n v="51.2"/>
    <x v="7"/>
    <d v="2025-01-09T00:00:00"/>
    <x v="1"/>
    <x v="0"/>
    <x v="2"/>
    <x v="0"/>
    <x v="23"/>
    <x v="3"/>
    <x v="1"/>
    <x v="1"/>
  </r>
  <r>
    <x v="185"/>
    <x v="8"/>
    <x v="0"/>
    <n v="43.4"/>
    <n v="43.4"/>
    <x v="7"/>
    <d v="2025-01-13T00:00:00"/>
    <x v="1"/>
    <x v="0"/>
    <x v="0"/>
    <x v="0"/>
    <x v="6"/>
    <x v="0"/>
    <x v="1"/>
    <x v="1"/>
  </r>
  <r>
    <x v="186"/>
    <x v="11"/>
    <x v="11"/>
    <n v="33.4"/>
    <n v="300.59999999999997"/>
    <x v="7"/>
    <d v="2025-01-08T00:00:00"/>
    <x v="2"/>
    <x v="0"/>
    <x v="0"/>
    <x v="0"/>
    <x v="8"/>
    <x v="7"/>
    <x v="1"/>
    <x v="2"/>
  </r>
  <r>
    <x v="187"/>
    <x v="8"/>
    <x v="10"/>
    <n v="55"/>
    <n v="1045"/>
    <x v="7"/>
    <d v="2025-01-09T00:00:00"/>
    <x v="2"/>
    <x v="1"/>
    <x v="2"/>
    <x v="0"/>
    <x v="8"/>
    <x v="3"/>
    <x v="1"/>
    <x v="2"/>
  </r>
  <r>
    <x v="188"/>
    <x v="8"/>
    <x v="2"/>
    <n v="23.6"/>
    <n v="70.800000000000011"/>
    <x v="7"/>
    <d v="2025-01-09T00:00:00"/>
    <x v="1"/>
    <x v="0"/>
    <x v="2"/>
    <x v="0"/>
    <x v="8"/>
    <x v="3"/>
    <x v="1"/>
    <x v="1"/>
  </r>
  <r>
    <x v="189"/>
    <x v="12"/>
    <x v="11"/>
    <n v="104"/>
    <n v="936"/>
    <x v="7"/>
    <d v="2025-01-10T00:00:00"/>
    <x v="2"/>
    <x v="2"/>
    <x v="2"/>
    <x v="0"/>
    <x v="17"/>
    <x v="1"/>
    <x v="1"/>
    <x v="2"/>
  </r>
  <r>
    <x v="190"/>
    <x v="6"/>
    <x v="1"/>
    <n v="51.8"/>
    <n v="103.6"/>
    <x v="7"/>
    <d v="2025-01-12T00:00:00"/>
    <x v="0"/>
    <x v="0"/>
    <x v="2"/>
    <x v="0"/>
    <x v="10"/>
    <x v="5"/>
    <x v="1"/>
    <x v="0"/>
  </r>
  <r>
    <x v="191"/>
    <x v="10"/>
    <x v="9"/>
    <n v="34.5"/>
    <n v="172.5"/>
    <x v="7"/>
    <d v="2025-01-10T00:00:00"/>
    <x v="0"/>
    <x v="2"/>
    <x v="2"/>
    <x v="0"/>
    <x v="11"/>
    <x v="1"/>
    <x v="1"/>
    <x v="0"/>
  </r>
  <r>
    <x v="192"/>
    <x v="6"/>
    <x v="1"/>
    <n v="51.8"/>
    <n v="103.6"/>
    <x v="7"/>
    <d v="2025-01-10T00:00:00"/>
    <x v="1"/>
    <x v="1"/>
    <x v="2"/>
    <x v="0"/>
    <x v="30"/>
    <x v="1"/>
    <x v="1"/>
    <x v="1"/>
  </r>
  <r>
    <x v="193"/>
    <x v="18"/>
    <x v="23"/>
    <n v="131.5"/>
    <n v="5654.5"/>
    <x v="7"/>
    <d v="2025-01-09T00:00:00"/>
    <x v="2"/>
    <x v="0"/>
    <x v="2"/>
    <x v="0"/>
    <x v="18"/>
    <x v="3"/>
    <x v="1"/>
    <x v="2"/>
  </r>
  <r>
    <x v="194"/>
    <x v="8"/>
    <x v="3"/>
    <n v="47.8"/>
    <n v="334.59999999999997"/>
    <x v="7"/>
    <d v="2025-01-08T00:00:00"/>
    <x v="2"/>
    <x v="0"/>
    <x v="0"/>
    <x v="0"/>
    <x v="19"/>
    <x v="7"/>
    <x v="1"/>
    <x v="2"/>
  </r>
  <r>
    <x v="195"/>
    <x v="0"/>
    <x v="1"/>
    <n v="10.199999999999999"/>
    <n v="20.399999999999999"/>
    <x v="7"/>
    <d v="2025-01-10T00:00:00"/>
    <x v="2"/>
    <x v="0"/>
    <x v="0"/>
    <x v="0"/>
    <x v="19"/>
    <x v="1"/>
    <x v="1"/>
    <x v="2"/>
  </r>
  <r>
    <x v="196"/>
    <x v="8"/>
    <x v="8"/>
    <n v="41"/>
    <n v="328"/>
    <x v="7"/>
    <d v="2025-01-08T00:00:00"/>
    <x v="2"/>
    <x v="1"/>
    <x v="2"/>
    <x v="0"/>
    <x v="19"/>
    <x v="7"/>
    <x v="1"/>
    <x v="2"/>
  </r>
  <r>
    <x v="197"/>
    <x v="10"/>
    <x v="3"/>
    <n v="50.8"/>
    <n v="355.59999999999997"/>
    <x v="7"/>
    <d v="2025-01-11T00:00:00"/>
    <x v="2"/>
    <x v="1"/>
    <x v="0"/>
    <x v="0"/>
    <x v="21"/>
    <x v="2"/>
    <x v="1"/>
    <x v="2"/>
  </r>
  <r>
    <x v="198"/>
    <x v="18"/>
    <x v="2"/>
    <n v="39.6"/>
    <n v="118.80000000000001"/>
    <x v="7"/>
    <d v="2025-01-09T00:00:00"/>
    <x v="1"/>
    <x v="2"/>
    <x v="2"/>
    <x v="0"/>
    <x v="1"/>
    <x v="3"/>
    <x v="1"/>
    <x v="1"/>
  </r>
  <r>
    <x v="199"/>
    <x v="5"/>
    <x v="1"/>
    <n v="69.5"/>
    <n v="139"/>
    <x v="7"/>
    <d v="2025-01-10T00:00:00"/>
    <x v="1"/>
    <x v="0"/>
    <x v="2"/>
    <x v="0"/>
    <x v="2"/>
    <x v="1"/>
    <x v="1"/>
    <x v="1"/>
  </r>
  <r>
    <x v="200"/>
    <x v="8"/>
    <x v="8"/>
    <n v="32.6"/>
    <n v="260.8"/>
    <x v="7"/>
    <d v="2025-01-11T00:00:00"/>
    <x v="1"/>
    <x v="1"/>
    <x v="0"/>
    <x v="0"/>
    <x v="3"/>
    <x v="2"/>
    <x v="1"/>
    <x v="1"/>
  </r>
  <r>
    <x v="201"/>
    <x v="7"/>
    <x v="1"/>
    <n v="49.1"/>
    <n v="98.2"/>
    <x v="7"/>
    <d v="2025-01-16T00:00:00"/>
    <x v="1"/>
    <x v="3"/>
    <x v="2"/>
    <x v="0"/>
    <x v="3"/>
    <x v="9"/>
    <x v="1"/>
    <x v="1"/>
  </r>
  <r>
    <x v="202"/>
    <x v="6"/>
    <x v="1"/>
    <n v="49.4"/>
    <n v="98.8"/>
    <x v="8"/>
    <d v="2025-01-10T00:00:00"/>
    <x v="2"/>
    <x v="2"/>
    <x v="0"/>
    <x v="0"/>
    <x v="3"/>
    <x v="3"/>
    <x v="1"/>
    <x v="2"/>
  </r>
  <r>
    <x v="203"/>
    <x v="7"/>
    <x v="3"/>
    <n v="65.099999999999994"/>
    <n v="455.69999999999993"/>
    <x v="8"/>
    <d v="2025-01-12T00:00:00"/>
    <x v="2"/>
    <x v="2"/>
    <x v="2"/>
    <x v="0"/>
    <x v="3"/>
    <x v="2"/>
    <x v="1"/>
    <x v="2"/>
  </r>
  <r>
    <x v="204"/>
    <x v="3"/>
    <x v="1"/>
    <n v="52.1"/>
    <n v="104.2"/>
    <x v="8"/>
    <d v="2025-01-13T00:00:00"/>
    <x v="2"/>
    <x v="2"/>
    <x v="0"/>
    <x v="0"/>
    <x v="3"/>
    <x v="5"/>
    <x v="1"/>
    <x v="2"/>
  </r>
  <r>
    <x v="205"/>
    <x v="2"/>
    <x v="12"/>
    <n v="129.19999999999999"/>
    <n v="516.79999999999995"/>
    <x v="8"/>
    <d v="2025-01-10T00:00:00"/>
    <x v="2"/>
    <x v="1"/>
    <x v="0"/>
    <x v="0"/>
    <x v="3"/>
    <x v="3"/>
    <x v="1"/>
    <x v="2"/>
  </r>
  <r>
    <x v="206"/>
    <x v="1"/>
    <x v="10"/>
    <n v="81.8"/>
    <n v="1554.2"/>
    <x v="8"/>
    <d v="2025-01-09T00:00:00"/>
    <x v="2"/>
    <x v="1"/>
    <x v="1"/>
    <x v="0"/>
    <x v="3"/>
    <x v="7"/>
    <x v="1"/>
    <x v="2"/>
  </r>
  <r>
    <x v="207"/>
    <x v="17"/>
    <x v="0"/>
    <n v="24.9"/>
    <n v="24.9"/>
    <x v="8"/>
    <d v="2025-01-13T00:00:00"/>
    <x v="2"/>
    <x v="1"/>
    <x v="0"/>
    <x v="0"/>
    <x v="3"/>
    <x v="5"/>
    <x v="1"/>
    <x v="2"/>
  </r>
  <r>
    <x v="208"/>
    <x v="0"/>
    <x v="2"/>
    <n v="49.4"/>
    <n v="148.19999999999999"/>
    <x v="8"/>
    <d v="2025-01-12T00:00:00"/>
    <x v="2"/>
    <x v="4"/>
    <x v="4"/>
    <x v="0"/>
    <x v="3"/>
    <x v="2"/>
    <x v="1"/>
    <x v="2"/>
  </r>
  <r>
    <x v="209"/>
    <x v="8"/>
    <x v="1"/>
    <n v="22.7"/>
    <n v="45.4"/>
    <x v="8"/>
    <d v="2025-01-10T00:00:00"/>
    <x v="1"/>
    <x v="3"/>
    <x v="2"/>
    <x v="0"/>
    <x v="3"/>
    <x v="3"/>
    <x v="1"/>
    <x v="1"/>
  </r>
  <r>
    <x v="210"/>
    <x v="1"/>
    <x v="0"/>
    <n v="77.3"/>
    <n v="77.3"/>
    <x v="8"/>
    <d v="2025-01-09T00:00:00"/>
    <x v="2"/>
    <x v="0"/>
    <x v="2"/>
    <x v="0"/>
    <x v="6"/>
    <x v="7"/>
    <x v="1"/>
    <x v="2"/>
  </r>
  <r>
    <x v="211"/>
    <x v="1"/>
    <x v="9"/>
    <n v="109.1"/>
    <n v="545.5"/>
    <x v="8"/>
    <d v="2025-01-12T00:00:00"/>
    <x v="2"/>
    <x v="0"/>
    <x v="0"/>
    <x v="0"/>
    <x v="6"/>
    <x v="2"/>
    <x v="1"/>
    <x v="2"/>
  </r>
  <r>
    <x v="212"/>
    <x v="2"/>
    <x v="12"/>
    <n v="53.9"/>
    <n v="215.6"/>
    <x v="8"/>
    <d v="2025-01-10T00:00:00"/>
    <x v="1"/>
    <x v="0"/>
    <x v="1"/>
    <x v="0"/>
    <x v="8"/>
    <x v="3"/>
    <x v="1"/>
    <x v="1"/>
  </r>
  <r>
    <x v="213"/>
    <x v="9"/>
    <x v="18"/>
    <n v="21.2"/>
    <n v="551.19999999999993"/>
    <x v="8"/>
    <d v="2025-01-09T00:00:00"/>
    <x v="2"/>
    <x v="0"/>
    <x v="0"/>
    <x v="0"/>
    <x v="9"/>
    <x v="7"/>
    <x v="1"/>
    <x v="2"/>
  </r>
  <r>
    <x v="214"/>
    <x v="16"/>
    <x v="12"/>
    <n v="69"/>
    <n v="276"/>
    <x v="8"/>
    <d v="2025-01-11T00:00:00"/>
    <x v="2"/>
    <x v="1"/>
    <x v="1"/>
    <x v="0"/>
    <x v="18"/>
    <x v="1"/>
    <x v="1"/>
    <x v="2"/>
  </r>
  <r>
    <x v="215"/>
    <x v="6"/>
    <x v="2"/>
    <n v="46.2"/>
    <n v="138.60000000000002"/>
    <x v="8"/>
    <d v="2025-01-11T00:00:00"/>
    <x v="2"/>
    <x v="0"/>
    <x v="2"/>
    <x v="0"/>
    <x v="31"/>
    <x v="1"/>
    <x v="1"/>
    <x v="2"/>
  </r>
  <r>
    <x v="216"/>
    <x v="1"/>
    <x v="9"/>
    <n v="97.4"/>
    <n v="487"/>
    <x v="8"/>
    <d v="2025-01-13T00:00:00"/>
    <x v="2"/>
    <x v="4"/>
    <x v="2"/>
    <x v="0"/>
    <x v="21"/>
    <x v="5"/>
    <x v="1"/>
    <x v="2"/>
  </r>
  <r>
    <x v="217"/>
    <x v="8"/>
    <x v="9"/>
    <n v="21"/>
    <n v="105"/>
    <x v="8"/>
    <d v="2025-01-10T00:00:00"/>
    <x v="1"/>
    <x v="0"/>
    <x v="1"/>
    <x v="0"/>
    <x v="21"/>
    <x v="3"/>
    <x v="1"/>
    <x v="1"/>
  </r>
  <r>
    <x v="218"/>
    <x v="5"/>
    <x v="1"/>
    <n v="32.700000000000003"/>
    <n v="65.400000000000006"/>
    <x v="9"/>
    <d v="2025-01-13T00:00:00"/>
    <x v="2"/>
    <x v="1"/>
    <x v="0"/>
    <x v="0"/>
    <x v="2"/>
    <x v="2"/>
    <x v="1"/>
    <x v="2"/>
  </r>
  <r>
    <x v="219"/>
    <x v="6"/>
    <x v="12"/>
    <n v="48"/>
    <n v="192"/>
    <x v="9"/>
    <d v="2025-01-11T00:00:00"/>
    <x v="1"/>
    <x v="3"/>
    <x v="0"/>
    <x v="0"/>
    <x v="3"/>
    <x v="3"/>
    <x v="1"/>
    <x v="1"/>
  </r>
  <r>
    <x v="220"/>
    <x v="6"/>
    <x v="2"/>
    <n v="68.2"/>
    <n v="204.60000000000002"/>
    <x v="9"/>
    <d v="2025-01-14T00:00:00"/>
    <x v="0"/>
    <x v="0"/>
    <x v="2"/>
    <x v="0"/>
    <x v="3"/>
    <x v="5"/>
    <x v="1"/>
    <x v="0"/>
  </r>
  <r>
    <x v="221"/>
    <x v="5"/>
    <x v="0"/>
    <n v="45.4"/>
    <n v="45.4"/>
    <x v="9"/>
    <d v="2025-01-12T00:00:00"/>
    <x v="1"/>
    <x v="1"/>
    <x v="0"/>
    <x v="0"/>
    <x v="3"/>
    <x v="1"/>
    <x v="1"/>
    <x v="1"/>
  </r>
  <r>
    <x v="222"/>
    <x v="12"/>
    <x v="1"/>
    <n v="53.9"/>
    <n v="107.8"/>
    <x v="9"/>
    <d v="2025-01-11T00:00:00"/>
    <x v="2"/>
    <x v="2"/>
    <x v="0"/>
    <x v="0"/>
    <x v="3"/>
    <x v="3"/>
    <x v="1"/>
    <x v="2"/>
  </r>
  <r>
    <x v="223"/>
    <x v="2"/>
    <x v="12"/>
    <n v="62.1"/>
    <n v="248.4"/>
    <x v="9"/>
    <d v="2025-01-14T00:00:00"/>
    <x v="2"/>
    <x v="0"/>
    <x v="0"/>
    <x v="0"/>
    <x v="4"/>
    <x v="5"/>
    <x v="1"/>
    <x v="2"/>
  </r>
  <r>
    <x v="224"/>
    <x v="13"/>
    <x v="3"/>
    <n v="33.1"/>
    <n v="231.70000000000002"/>
    <x v="9"/>
    <d v="2025-01-15T00:00:00"/>
    <x v="1"/>
    <x v="1"/>
    <x v="0"/>
    <x v="0"/>
    <x v="6"/>
    <x v="0"/>
    <x v="1"/>
    <x v="1"/>
  </r>
  <r>
    <x v="225"/>
    <x v="18"/>
    <x v="9"/>
    <n v="35.200000000000003"/>
    <n v="176"/>
    <x v="9"/>
    <d v="2025-01-10T00:00:00"/>
    <x v="2"/>
    <x v="1"/>
    <x v="0"/>
    <x v="0"/>
    <x v="6"/>
    <x v="7"/>
    <x v="1"/>
    <x v="2"/>
  </r>
  <r>
    <x v="226"/>
    <x v="9"/>
    <x v="2"/>
    <n v="32.1"/>
    <n v="96.300000000000011"/>
    <x v="9"/>
    <d v="2025-01-15T00:00:00"/>
    <x v="1"/>
    <x v="3"/>
    <x v="0"/>
    <x v="0"/>
    <x v="8"/>
    <x v="0"/>
    <x v="1"/>
    <x v="1"/>
  </r>
  <r>
    <x v="227"/>
    <x v="11"/>
    <x v="0"/>
    <n v="38.1"/>
    <n v="38.1"/>
    <x v="9"/>
    <d v="2025-01-15T00:00:00"/>
    <x v="2"/>
    <x v="0"/>
    <x v="2"/>
    <x v="0"/>
    <x v="8"/>
    <x v="0"/>
    <x v="1"/>
    <x v="2"/>
  </r>
  <r>
    <x v="228"/>
    <x v="8"/>
    <x v="0"/>
    <n v="65.2"/>
    <n v="65.2"/>
    <x v="9"/>
    <d v="2025-01-15T00:00:00"/>
    <x v="2"/>
    <x v="3"/>
    <x v="1"/>
    <x v="0"/>
    <x v="8"/>
    <x v="0"/>
    <x v="1"/>
    <x v="2"/>
  </r>
  <r>
    <x v="229"/>
    <x v="10"/>
    <x v="3"/>
    <n v="55.2"/>
    <n v="386.40000000000003"/>
    <x v="9"/>
    <d v="2025-01-11T00:00:00"/>
    <x v="1"/>
    <x v="2"/>
    <x v="0"/>
    <x v="0"/>
    <x v="11"/>
    <x v="3"/>
    <x v="1"/>
    <x v="1"/>
  </r>
  <r>
    <x v="230"/>
    <x v="6"/>
    <x v="0"/>
    <n v="62"/>
    <n v="62"/>
    <x v="9"/>
    <d v="2025-01-14T00:00:00"/>
    <x v="2"/>
    <x v="0"/>
    <x v="0"/>
    <x v="0"/>
    <x v="11"/>
    <x v="5"/>
    <x v="1"/>
    <x v="2"/>
  </r>
  <r>
    <x v="231"/>
    <x v="7"/>
    <x v="2"/>
    <n v="45.9"/>
    <n v="137.69999999999999"/>
    <x v="9"/>
    <d v="2025-01-11T00:00:00"/>
    <x v="2"/>
    <x v="2"/>
    <x v="0"/>
    <x v="0"/>
    <x v="32"/>
    <x v="3"/>
    <x v="1"/>
    <x v="2"/>
  </r>
  <r>
    <x v="232"/>
    <x v="18"/>
    <x v="2"/>
    <n v="58.3"/>
    <n v="174.89999999999998"/>
    <x v="9"/>
    <d v="2025-01-10T00:00:00"/>
    <x v="1"/>
    <x v="1"/>
    <x v="1"/>
    <x v="0"/>
    <x v="18"/>
    <x v="7"/>
    <x v="1"/>
    <x v="1"/>
  </r>
  <r>
    <x v="233"/>
    <x v="8"/>
    <x v="1"/>
    <n v="22.3"/>
    <n v="44.6"/>
    <x v="9"/>
    <d v="2025-01-13T00:00:00"/>
    <x v="2"/>
    <x v="0"/>
    <x v="2"/>
    <x v="0"/>
    <x v="20"/>
    <x v="2"/>
    <x v="1"/>
    <x v="2"/>
  </r>
  <r>
    <x v="234"/>
    <x v="19"/>
    <x v="9"/>
    <n v="24"/>
    <n v="120"/>
    <x v="9"/>
    <d v="2025-01-11T00:00:00"/>
    <x v="1"/>
    <x v="4"/>
    <x v="0"/>
    <x v="0"/>
    <x v="1"/>
    <x v="3"/>
    <x v="1"/>
    <x v="1"/>
  </r>
  <r>
    <x v="235"/>
    <x v="0"/>
    <x v="7"/>
    <n v="21.3"/>
    <n v="213"/>
    <x v="9"/>
    <d v="2025-01-10T00:00:00"/>
    <x v="2"/>
    <x v="1"/>
    <x v="2"/>
    <x v="0"/>
    <x v="22"/>
    <x v="7"/>
    <x v="1"/>
    <x v="2"/>
  </r>
  <r>
    <x v="236"/>
    <x v="6"/>
    <x v="24"/>
    <n v="57.8"/>
    <n v="2369.7999999999997"/>
    <x v="9"/>
    <d v="2025-01-12T00:00:00"/>
    <x v="2"/>
    <x v="0"/>
    <x v="2"/>
    <x v="0"/>
    <x v="3"/>
    <x v="1"/>
    <x v="1"/>
    <x v="2"/>
  </r>
  <r>
    <x v="237"/>
    <x v="10"/>
    <x v="2"/>
    <n v="67.599999999999994"/>
    <n v="202.79999999999998"/>
    <x v="9"/>
    <d v="2025-01-11T00:00:00"/>
    <x v="2"/>
    <x v="0"/>
    <x v="0"/>
    <x v="0"/>
    <x v="3"/>
    <x v="3"/>
    <x v="1"/>
    <x v="2"/>
  </r>
  <r>
    <x v="238"/>
    <x v="6"/>
    <x v="13"/>
    <n v="66.7"/>
    <n v="400.20000000000005"/>
    <x v="9"/>
    <d v="2025-01-14T00:00:00"/>
    <x v="1"/>
    <x v="4"/>
    <x v="1"/>
    <x v="0"/>
    <x v="3"/>
    <x v="5"/>
    <x v="1"/>
    <x v="1"/>
  </r>
  <r>
    <x v="239"/>
    <x v="1"/>
    <x v="12"/>
    <n v="53.1"/>
    <n v="212.4"/>
    <x v="9"/>
    <d v="2025-01-12T00:00:00"/>
    <x v="2"/>
    <x v="1"/>
    <x v="0"/>
    <x v="0"/>
    <x v="3"/>
    <x v="1"/>
    <x v="1"/>
    <x v="2"/>
  </r>
  <r>
    <x v="240"/>
    <x v="12"/>
    <x v="2"/>
    <n v="57.4"/>
    <n v="172.2"/>
    <x v="9"/>
    <d v="2025-01-13T00:00:00"/>
    <x v="2"/>
    <x v="0"/>
    <x v="2"/>
    <x v="0"/>
    <x v="29"/>
    <x v="2"/>
    <x v="1"/>
    <x v="2"/>
  </r>
  <r>
    <x v="241"/>
    <x v="2"/>
    <x v="9"/>
    <n v="58.1"/>
    <n v="290.5"/>
    <x v="9"/>
    <d v="2025-01-10T00:00:00"/>
    <x v="1"/>
    <x v="2"/>
    <x v="2"/>
    <x v="0"/>
    <x v="6"/>
    <x v="7"/>
    <x v="1"/>
    <x v="1"/>
  </r>
  <r>
    <x v="242"/>
    <x v="5"/>
    <x v="2"/>
    <n v="31.8"/>
    <n v="95.4"/>
    <x v="10"/>
    <d v="2025-01-13T00:00:00"/>
    <x v="1"/>
    <x v="3"/>
    <x v="0"/>
    <x v="0"/>
    <x v="6"/>
    <x v="1"/>
    <x v="1"/>
    <x v="1"/>
  </r>
  <r>
    <x v="243"/>
    <x v="4"/>
    <x v="2"/>
    <n v="31.5"/>
    <n v="94.5"/>
    <x v="10"/>
    <d v="2025-01-14T00:00:00"/>
    <x v="1"/>
    <x v="0"/>
    <x v="1"/>
    <x v="0"/>
    <x v="8"/>
    <x v="2"/>
    <x v="1"/>
    <x v="1"/>
  </r>
  <r>
    <x v="244"/>
    <x v="6"/>
    <x v="3"/>
    <n v="55.9"/>
    <n v="391.3"/>
    <x v="10"/>
    <d v="2025-01-15T00:00:00"/>
    <x v="2"/>
    <x v="1"/>
    <x v="2"/>
    <x v="0"/>
    <x v="8"/>
    <x v="5"/>
    <x v="1"/>
    <x v="2"/>
  </r>
  <r>
    <x v="245"/>
    <x v="8"/>
    <x v="1"/>
    <n v="36.4"/>
    <n v="72.8"/>
    <x v="10"/>
    <d v="2025-01-12T00:00:00"/>
    <x v="1"/>
    <x v="1"/>
    <x v="1"/>
    <x v="0"/>
    <x v="9"/>
    <x v="3"/>
    <x v="1"/>
    <x v="1"/>
  </r>
  <r>
    <x v="246"/>
    <x v="1"/>
    <x v="9"/>
    <n v="47.3"/>
    <n v="236.5"/>
    <x v="10"/>
    <d v="2025-01-14T00:00:00"/>
    <x v="1"/>
    <x v="2"/>
    <x v="0"/>
    <x v="0"/>
    <x v="10"/>
    <x v="2"/>
    <x v="1"/>
    <x v="1"/>
  </r>
  <r>
    <x v="247"/>
    <x v="6"/>
    <x v="2"/>
    <n v="82.5"/>
    <n v="247.5"/>
    <x v="10"/>
    <d v="2025-01-12T00:00:00"/>
    <x v="1"/>
    <x v="0"/>
    <x v="0"/>
    <x v="0"/>
    <x v="11"/>
    <x v="3"/>
    <x v="1"/>
    <x v="1"/>
  </r>
  <r>
    <x v="248"/>
    <x v="0"/>
    <x v="0"/>
    <n v="14.3"/>
    <n v="14.3"/>
    <x v="10"/>
    <d v="2025-01-12T00:00:00"/>
    <x v="2"/>
    <x v="0"/>
    <x v="0"/>
    <x v="0"/>
    <x v="21"/>
    <x v="3"/>
    <x v="1"/>
    <x v="2"/>
  </r>
  <r>
    <x v="249"/>
    <x v="2"/>
    <x v="13"/>
    <n v="57.6"/>
    <n v="345.6"/>
    <x v="10"/>
    <d v="2025-01-25T00:00:00"/>
    <x v="2"/>
    <x v="0"/>
    <x v="0"/>
    <x v="0"/>
    <x v="21"/>
    <x v="12"/>
    <x v="1"/>
    <x v="2"/>
  </r>
  <r>
    <x v="250"/>
    <x v="2"/>
    <x v="2"/>
    <n v="142.4"/>
    <n v="427.20000000000005"/>
    <x v="10"/>
    <d v="2025-01-13T00:00:00"/>
    <x v="1"/>
    <x v="4"/>
    <x v="1"/>
    <x v="0"/>
    <x v="21"/>
    <x v="1"/>
    <x v="1"/>
    <x v="1"/>
  </r>
  <r>
    <x v="251"/>
    <x v="12"/>
    <x v="0"/>
    <n v="30.2"/>
    <n v="30.2"/>
    <x v="10"/>
    <d v="2025-01-15T00:00:00"/>
    <x v="1"/>
    <x v="1"/>
    <x v="2"/>
    <x v="0"/>
    <x v="2"/>
    <x v="5"/>
    <x v="1"/>
    <x v="1"/>
  </r>
  <r>
    <x v="252"/>
    <x v="18"/>
    <x v="2"/>
    <n v="65.3"/>
    <n v="195.89999999999998"/>
    <x v="10"/>
    <d v="2025-01-12T00:00:00"/>
    <x v="3"/>
    <x v="1"/>
    <x v="0"/>
    <x v="0"/>
    <x v="33"/>
    <x v="3"/>
    <x v="1"/>
    <x v="3"/>
  </r>
  <r>
    <x v="253"/>
    <x v="0"/>
    <x v="1"/>
    <n v="33.4"/>
    <n v="66.8"/>
    <x v="10"/>
    <d v="2025-01-12T00:00:00"/>
    <x v="1"/>
    <x v="1"/>
    <x v="1"/>
    <x v="0"/>
    <x v="22"/>
    <x v="3"/>
    <x v="1"/>
    <x v="1"/>
  </r>
  <r>
    <x v="254"/>
    <x v="7"/>
    <x v="1"/>
    <n v="45.1"/>
    <n v="90.2"/>
    <x v="10"/>
    <d v="2025-01-19T00:00:00"/>
    <x v="1"/>
    <x v="0"/>
    <x v="0"/>
    <x v="0"/>
    <x v="34"/>
    <x v="9"/>
    <x v="1"/>
    <x v="1"/>
  </r>
  <r>
    <x v="255"/>
    <x v="2"/>
    <x v="3"/>
    <n v="61.7"/>
    <n v="431.90000000000003"/>
    <x v="10"/>
    <d v="2025-01-13T00:00:00"/>
    <x v="2"/>
    <x v="4"/>
    <x v="0"/>
    <x v="0"/>
    <x v="3"/>
    <x v="1"/>
    <x v="1"/>
    <x v="2"/>
  </r>
  <r>
    <x v="256"/>
    <x v="9"/>
    <x v="2"/>
    <n v="45.1"/>
    <n v="135.30000000000001"/>
    <x v="11"/>
    <d v="2025-01-13T00:00:00"/>
    <x v="1"/>
    <x v="4"/>
    <x v="1"/>
    <x v="0"/>
    <x v="3"/>
    <x v="3"/>
    <x v="2"/>
    <x v="1"/>
  </r>
  <r>
    <x v="257"/>
    <x v="15"/>
    <x v="9"/>
    <n v="22.7"/>
    <n v="113.5"/>
    <x v="11"/>
    <d v="2025-01-17T00:00:00"/>
    <x v="1"/>
    <x v="0"/>
    <x v="2"/>
    <x v="0"/>
    <x v="35"/>
    <x v="0"/>
    <x v="2"/>
    <x v="1"/>
  </r>
  <r>
    <x v="258"/>
    <x v="8"/>
    <x v="0"/>
    <n v="17.600000000000001"/>
    <n v="17.600000000000001"/>
    <x v="11"/>
    <d v="2025-01-13T00:00:00"/>
    <x v="2"/>
    <x v="0"/>
    <x v="2"/>
    <x v="0"/>
    <x v="23"/>
    <x v="3"/>
    <x v="2"/>
    <x v="2"/>
  </r>
  <r>
    <x v="259"/>
    <x v="14"/>
    <x v="1"/>
    <n v="11.3"/>
    <n v="22.6"/>
    <x v="11"/>
    <d v="2025-01-15T00:00:00"/>
    <x v="2"/>
    <x v="3"/>
    <x v="2"/>
    <x v="0"/>
    <x v="23"/>
    <x v="2"/>
    <x v="2"/>
    <x v="2"/>
  </r>
  <r>
    <x v="260"/>
    <x v="6"/>
    <x v="2"/>
    <n v="53.4"/>
    <n v="160.19999999999999"/>
    <x v="11"/>
    <d v="2025-01-15T00:00:00"/>
    <x v="1"/>
    <x v="3"/>
    <x v="2"/>
    <x v="0"/>
    <x v="36"/>
    <x v="2"/>
    <x v="2"/>
    <x v="1"/>
  </r>
  <r>
    <x v="261"/>
    <x v="6"/>
    <x v="5"/>
    <n v="51.1"/>
    <n v="562.1"/>
    <x v="11"/>
    <d v="2025-01-14T00:00:00"/>
    <x v="2"/>
    <x v="2"/>
    <x v="2"/>
    <x v="0"/>
    <x v="8"/>
    <x v="1"/>
    <x v="2"/>
    <x v="2"/>
  </r>
  <r>
    <x v="262"/>
    <x v="8"/>
    <x v="1"/>
    <n v="27.5"/>
    <n v="55"/>
    <x v="11"/>
    <d v="2025-01-13T00:00:00"/>
    <x v="1"/>
    <x v="4"/>
    <x v="1"/>
    <x v="0"/>
    <x v="8"/>
    <x v="3"/>
    <x v="2"/>
    <x v="1"/>
  </r>
  <r>
    <x v="263"/>
    <x v="9"/>
    <x v="0"/>
    <n v="33.5"/>
    <n v="33.5"/>
    <x v="11"/>
    <d v="2025-01-14T00:00:00"/>
    <x v="2"/>
    <x v="0"/>
    <x v="4"/>
    <x v="0"/>
    <x v="8"/>
    <x v="1"/>
    <x v="2"/>
    <x v="2"/>
  </r>
  <r>
    <x v="264"/>
    <x v="4"/>
    <x v="0"/>
    <n v="59.5"/>
    <n v="59.5"/>
    <x v="11"/>
    <d v="2025-01-12T00:00:00"/>
    <x v="1"/>
    <x v="0"/>
    <x v="2"/>
    <x v="0"/>
    <x v="18"/>
    <x v="7"/>
    <x v="2"/>
    <x v="1"/>
  </r>
  <r>
    <x v="265"/>
    <x v="17"/>
    <x v="12"/>
    <n v="23.5"/>
    <n v="94"/>
    <x v="11"/>
    <d v="2025-01-13T00:00:00"/>
    <x v="2"/>
    <x v="3"/>
    <x v="3"/>
    <x v="0"/>
    <x v="19"/>
    <x v="3"/>
    <x v="2"/>
    <x v="2"/>
  </r>
  <r>
    <x v="266"/>
    <x v="6"/>
    <x v="0"/>
    <n v="49.7"/>
    <n v="49.7"/>
    <x v="11"/>
    <d v="2025-01-13T00:00:00"/>
    <x v="0"/>
    <x v="1"/>
    <x v="2"/>
    <x v="0"/>
    <x v="20"/>
    <x v="3"/>
    <x v="2"/>
    <x v="0"/>
  </r>
  <r>
    <x v="267"/>
    <x v="6"/>
    <x v="12"/>
    <n v="44.2"/>
    <n v="176.8"/>
    <x v="11"/>
    <d v="2025-01-15T00:00:00"/>
    <x v="2"/>
    <x v="0"/>
    <x v="2"/>
    <x v="0"/>
    <x v="21"/>
    <x v="2"/>
    <x v="2"/>
    <x v="2"/>
  </r>
  <r>
    <x v="268"/>
    <x v="8"/>
    <x v="0"/>
    <n v="22.1"/>
    <n v="22.1"/>
    <x v="11"/>
    <d v="2025-01-16T00:00:00"/>
    <x v="2"/>
    <x v="1"/>
    <x v="1"/>
    <x v="0"/>
    <x v="33"/>
    <x v="5"/>
    <x v="2"/>
    <x v="2"/>
  </r>
  <r>
    <x v="269"/>
    <x v="6"/>
    <x v="2"/>
    <n v="90.9"/>
    <n v="272.70000000000005"/>
    <x v="11"/>
    <d v="2025-01-13T00:00:00"/>
    <x v="2"/>
    <x v="2"/>
    <x v="4"/>
    <x v="0"/>
    <x v="3"/>
    <x v="3"/>
    <x v="2"/>
    <x v="2"/>
  </r>
  <r>
    <x v="270"/>
    <x v="8"/>
    <x v="2"/>
    <n v="44.5"/>
    <n v="133.5"/>
    <x v="11"/>
    <d v="2025-01-13T00:00:00"/>
    <x v="2"/>
    <x v="1"/>
    <x v="0"/>
    <x v="0"/>
    <x v="3"/>
    <x v="3"/>
    <x v="2"/>
    <x v="2"/>
  </r>
  <r>
    <x v="271"/>
    <x v="9"/>
    <x v="13"/>
    <n v="32.299999999999997"/>
    <n v="193.79999999999998"/>
    <x v="11"/>
    <d v="2025-01-16T00:00:00"/>
    <x v="2"/>
    <x v="0"/>
    <x v="0"/>
    <x v="0"/>
    <x v="3"/>
    <x v="5"/>
    <x v="2"/>
    <x v="2"/>
  </r>
  <r>
    <x v="272"/>
    <x v="17"/>
    <x v="2"/>
    <n v="87.5"/>
    <n v="262.5"/>
    <x v="11"/>
    <d v="2025-01-13T00:00:00"/>
    <x v="2"/>
    <x v="1"/>
    <x v="1"/>
    <x v="0"/>
    <x v="3"/>
    <x v="3"/>
    <x v="2"/>
    <x v="2"/>
  </r>
  <r>
    <x v="273"/>
    <x v="16"/>
    <x v="9"/>
    <n v="48.7"/>
    <n v="243.5"/>
    <x v="11"/>
    <d v="2025-01-13T00:00:00"/>
    <x v="1"/>
    <x v="2"/>
    <x v="0"/>
    <x v="0"/>
    <x v="3"/>
    <x v="3"/>
    <x v="2"/>
    <x v="1"/>
  </r>
  <r>
    <x v="274"/>
    <x v="0"/>
    <x v="9"/>
    <n v="22.5"/>
    <n v="112.5"/>
    <x v="11"/>
    <d v="2025-01-13T00:00:00"/>
    <x v="1"/>
    <x v="0"/>
    <x v="0"/>
    <x v="0"/>
    <x v="3"/>
    <x v="3"/>
    <x v="2"/>
    <x v="1"/>
  </r>
  <r>
    <x v="275"/>
    <x v="1"/>
    <x v="8"/>
    <n v="65.900000000000006"/>
    <n v="527.20000000000005"/>
    <x v="11"/>
    <d v="2025-01-15T00:00:00"/>
    <x v="2"/>
    <x v="1"/>
    <x v="2"/>
    <x v="0"/>
    <x v="3"/>
    <x v="2"/>
    <x v="2"/>
    <x v="2"/>
  </r>
  <r>
    <x v="276"/>
    <x v="6"/>
    <x v="9"/>
    <n v="41.9"/>
    <n v="209.5"/>
    <x v="11"/>
    <d v="2025-01-19T00:00:00"/>
    <x v="0"/>
    <x v="0"/>
    <x v="0"/>
    <x v="0"/>
    <x v="3"/>
    <x v="6"/>
    <x v="2"/>
    <x v="0"/>
  </r>
  <r>
    <x v="277"/>
    <x v="1"/>
    <x v="9"/>
    <n v="67.5"/>
    <n v="337.5"/>
    <x v="11"/>
    <d v="2025-01-13T00:00:00"/>
    <x v="2"/>
    <x v="0"/>
    <x v="2"/>
    <x v="0"/>
    <x v="3"/>
    <x v="3"/>
    <x v="2"/>
    <x v="2"/>
  </r>
  <r>
    <x v="278"/>
    <x v="9"/>
    <x v="0"/>
    <n v="60.4"/>
    <n v="60.4"/>
    <x v="12"/>
    <d v="2025-01-15T00:00:00"/>
    <x v="2"/>
    <x v="1"/>
    <x v="1"/>
    <x v="0"/>
    <x v="3"/>
    <x v="1"/>
    <x v="2"/>
    <x v="2"/>
  </r>
  <r>
    <x v="279"/>
    <x v="1"/>
    <x v="3"/>
    <n v="30.4"/>
    <n v="212.79999999999998"/>
    <x v="12"/>
    <d v="2025-01-16T00:00:00"/>
    <x v="2"/>
    <x v="4"/>
    <x v="0"/>
    <x v="0"/>
    <x v="3"/>
    <x v="2"/>
    <x v="2"/>
    <x v="2"/>
  </r>
  <r>
    <x v="280"/>
    <x v="14"/>
    <x v="1"/>
    <n v="24.5"/>
    <n v="49"/>
    <x v="12"/>
    <d v="2025-01-14T00:00:00"/>
    <x v="1"/>
    <x v="3"/>
    <x v="2"/>
    <x v="0"/>
    <x v="3"/>
    <x v="3"/>
    <x v="2"/>
    <x v="1"/>
  </r>
  <r>
    <x v="281"/>
    <x v="2"/>
    <x v="2"/>
    <n v="105.9"/>
    <n v="317.70000000000005"/>
    <x v="12"/>
    <d v="2025-01-18T00:00:00"/>
    <x v="1"/>
    <x v="0"/>
    <x v="0"/>
    <x v="0"/>
    <x v="37"/>
    <x v="0"/>
    <x v="2"/>
    <x v="1"/>
  </r>
  <r>
    <x v="282"/>
    <x v="10"/>
    <x v="25"/>
    <n v="25.9"/>
    <n v="621.59999999999991"/>
    <x v="12"/>
    <d v="2025-01-14T00:00:00"/>
    <x v="2"/>
    <x v="4"/>
    <x v="0"/>
    <x v="0"/>
    <x v="23"/>
    <x v="3"/>
    <x v="2"/>
    <x v="2"/>
  </r>
  <r>
    <x v="283"/>
    <x v="6"/>
    <x v="2"/>
    <n v="66.8"/>
    <n v="200.39999999999998"/>
    <x v="12"/>
    <d v="2025-01-13T00:00:00"/>
    <x v="1"/>
    <x v="0"/>
    <x v="0"/>
    <x v="0"/>
    <x v="23"/>
    <x v="7"/>
    <x v="2"/>
    <x v="1"/>
  </r>
  <r>
    <x v="284"/>
    <x v="6"/>
    <x v="2"/>
    <n v="112.3"/>
    <n v="336.9"/>
    <x v="12"/>
    <d v="2025-01-14T00:00:00"/>
    <x v="1"/>
    <x v="2"/>
    <x v="4"/>
    <x v="0"/>
    <x v="6"/>
    <x v="3"/>
    <x v="2"/>
    <x v="1"/>
  </r>
  <r>
    <x v="285"/>
    <x v="1"/>
    <x v="13"/>
    <n v="94.1"/>
    <n v="564.59999999999991"/>
    <x v="12"/>
    <d v="2025-01-14T00:00:00"/>
    <x v="2"/>
    <x v="0"/>
    <x v="4"/>
    <x v="0"/>
    <x v="6"/>
    <x v="3"/>
    <x v="2"/>
    <x v="2"/>
  </r>
  <r>
    <x v="286"/>
    <x v="5"/>
    <x v="0"/>
    <n v="40.700000000000003"/>
    <n v="40.700000000000003"/>
    <x v="12"/>
    <d v="2025-01-16T00:00:00"/>
    <x v="2"/>
    <x v="2"/>
    <x v="0"/>
    <x v="0"/>
    <x v="6"/>
    <x v="2"/>
    <x v="2"/>
    <x v="2"/>
  </r>
  <r>
    <x v="287"/>
    <x v="3"/>
    <x v="1"/>
    <n v="71.400000000000006"/>
    <n v="142.80000000000001"/>
    <x v="12"/>
    <d v="2025-01-14T00:00:00"/>
    <x v="1"/>
    <x v="0"/>
    <x v="0"/>
    <x v="0"/>
    <x v="7"/>
    <x v="3"/>
    <x v="2"/>
    <x v="1"/>
  </r>
  <r>
    <x v="288"/>
    <x v="0"/>
    <x v="16"/>
    <n v="15.6"/>
    <n v="280.8"/>
    <x v="12"/>
    <d v="2025-01-14T00:00:00"/>
    <x v="1"/>
    <x v="1"/>
    <x v="3"/>
    <x v="0"/>
    <x v="8"/>
    <x v="3"/>
    <x v="2"/>
    <x v="1"/>
  </r>
  <r>
    <x v="289"/>
    <x v="10"/>
    <x v="12"/>
    <n v="37.799999999999997"/>
    <n v="151.19999999999999"/>
    <x v="12"/>
    <d v="2025-01-14T00:00:00"/>
    <x v="1"/>
    <x v="2"/>
    <x v="2"/>
    <x v="0"/>
    <x v="8"/>
    <x v="3"/>
    <x v="2"/>
    <x v="1"/>
  </r>
  <r>
    <x v="290"/>
    <x v="4"/>
    <x v="2"/>
    <n v="28.1"/>
    <n v="84.300000000000011"/>
    <x v="12"/>
    <d v="2025-01-17T00:00:00"/>
    <x v="1"/>
    <x v="0"/>
    <x v="0"/>
    <x v="0"/>
    <x v="8"/>
    <x v="5"/>
    <x v="2"/>
    <x v="1"/>
  </r>
  <r>
    <x v="291"/>
    <x v="7"/>
    <x v="13"/>
    <n v="51.4"/>
    <n v="308.39999999999998"/>
    <x v="12"/>
    <d v="2025-01-17T00:00:00"/>
    <x v="1"/>
    <x v="0"/>
    <x v="0"/>
    <x v="0"/>
    <x v="8"/>
    <x v="5"/>
    <x v="2"/>
    <x v="1"/>
  </r>
  <r>
    <x v="292"/>
    <x v="7"/>
    <x v="1"/>
    <n v="97.7"/>
    <n v="195.4"/>
    <x v="12"/>
    <d v="2025-01-15T00:00:00"/>
    <x v="2"/>
    <x v="4"/>
    <x v="2"/>
    <x v="0"/>
    <x v="17"/>
    <x v="1"/>
    <x v="2"/>
    <x v="2"/>
  </r>
  <r>
    <x v="293"/>
    <x v="1"/>
    <x v="12"/>
    <n v="63.8"/>
    <n v="255.2"/>
    <x v="12"/>
    <d v="2025-01-14T00:00:00"/>
    <x v="1"/>
    <x v="2"/>
    <x v="0"/>
    <x v="0"/>
    <x v="38"/>
    <x v="3"/>
    <x v="2"/>
    <x v="1"/>
  </r>
  <r>
    <x v="294"/>
    <x v="13"/>
    <x v="1"/>
    <n v="20.100000000000001"/>
    <n v="40.200000000000003"/>
    <x v="12"/>
    <d v="2025-01-15T00:00:00"/>
    <x v="1"/>
    <x v="0"/>
    <x v="2"/>
    <x v="0"/>
    <x v="20"/>
    <x v="1"/>
    <x v="2"/>
    <x v="1"/>
  </r>
  <r>
    <x v="295"/>
    <x v="11"/>
    <x v="2"/>
    <n v="50.4"/>
    <n v="151.19999999999999"/>
    <x v="12"/>
    <d v="2025-01-16T00:00:00"/>
    <x v="2"/>
    <x v="3"/>
    <x v="0"/>
    <x v="0"/>
    <x v="13"/>
    <x v="2"/>
    <x v="2"/>
    <x v="2"/>
  </r>
  <r>
    <x v="296"/>
    <x v="0"/>
    <x v="0"/>
    <n v="16.2"/>
    <n v="16.2"/>
    <x v="12"/>
    <d v="2025-01-26T00:00:00"/>
    <x v="2"/>
    <x v="1"/>
    <x v="0"/>
    <x v="0"/>
    <x v="1"/>
    <x v="10"/>
    <x v="2"/>
    <x v="2"/>
  </r>
  <r>
    <x v="297"/>
    <x v="6"/>
    <x v="3"/>
    <n v="80.900000000000006"/>
    <n v="566.30000000000007"/>
    <x v="12"/>
    <d v="2025-01-15T00:00:00"/>
    <x v="1"/>
    <x v="4"/>
    <x v="4"/>
    <x v="0"/>
    <x v="2"/>
    <x v="1"/>
    <x v="2"/>
    <x v="1"/>
  </r>
  <r>
    <x v="298"/>
    <x v="9"/>
    <x v="13"/>
    <n v="95.2"/>
    <n v="571.20000000000005"/>
    <x v="12"/>
    <d v="2025-01-15T00:00:00"/>
    <x v="2"/>
    <x v="0"/>
    <x v="2"/>
    <x v="0"/>
    <x v="2"/>
    <x v="1"/>
    <x v="2"/>
    <x v="2"/>
  </r>
  <r>
    <x v="299"/>
    <x v="5"/>
    <x v="8"/>
    <n v="70.400000000000006"/>
    <n v="563.20000000000005"/>
    <x v="12"/>
    <d v="2025-01-14T00:00:00"/>
    <x v="1"/>
    <x v="1"/>
    <x v="1"/>
    <x v="0"/>
    <x v="3"/>
    <x v="3"/>
    <x v="2"/>
    <x v="1"/>
  </r>
  <r>
    <x v="300"/>
    <x v="0"/>
    <x v="9"/>
    <n v="10.7"/>
    <n v="53.5"/>
    <x v="12"/>
    <d v="2025-01-17T00:00:00"/>
    <x v="2"/>
    <x v="2"/>
    <x v="0"/>
    <x v="0"/>
    <x v="3"/>
    <x v="5"/>
    <x v="2"/>
    <x v="2"/>
  </r>
  <r>
    <x v="301"/>
    <x v="8"/>
    <x v="9"/>
    <n v="19.600000000000001"/>
    <n v="98"/>
    <x v="12"/>
    <d v="2025-01-15T00:00:00"/>
    <x v="2"/>
    <x v="0"/>
    <x v="3"/>
    <x v="0"/>
    <x v="3"/>
    <x v="1"/>
    <x v="2"/>
    <x v="2"/>
  </r>
  <r>
    <x v="302"/>
    <x v="8"/>
    <x v="5"/>
    <n v="34.700000000000003"/>
    <n v="381.70000000000005"/>
    <x v="12"/>
    <d v="2025-01-15T00:00:00"/>
    <x v="2"/>
    <x v="0"/>
    <x v="2"/>
    <x v="0"/>
    <x v="3"/>
    <x v="1"/>
    <x v="2"/>
    <x v="2"/>
  </r>
  <r>
    <x v="303"/>
    <x v="10"/>
    <x v="11"/>
    <n v="34.1"/>
    <n v="306.90000000000003"/>
    <x v="12"/>
    <d v="2025-01-14T00:00:00"/>
    <x v="2"/>
    <x v="4"/>
    <x v="1"/>
    <x v="0"/>
    <x v="3"/>
    <x v="3"/>
    <x v="2"/>
    <x v="2"/>
  </r>
  <r>
    <x v="304"/>
    <x v="0"/>
    <x v="26"/>
    <n v="29.3"/>
    <n v="1435.7"/>
    <x v="12"/>
    <d v="2025-01-13T00:00:00"/>
    <x v="1"/>
    <x v="0"/>
    <x v="1"/>
    <x v="0"/>
    <x v="3"/>
    <x v="7"/>
    <x v="2"/>
    <x v="1"/>
  </r>
  <r>
    <x v="305"/>
    <x v="1"/>
    <x v="0"/>
    <n v="55.2"/>
    <n v="55.2"/>
    <x v="12"/>
    <d v="2025-01-14T00:00:00"/>
    <x v="2"/>
    <x v="0"/>
    <x v="1"/>
    <x v="0"/>
    <x v="3"/>
    <x v="3"/>
    <x v="2"/>
    <x v="2"/>
  </r>
  <r>
    <x v="306"/>
    <x v="18"/>
    <x v="2"/>
    <n v="26"/>
    <n v="78"/>
    <x v="12"/>
    <d v="2025-01-16T00:00:00"/>
    <x v="2"/>
    <x v="0"/>
    <x v="2"/>
    <x v="0"/>
    <x v="3"/>
    <x v="2"/>
    <x v="2"/>
    <x v="2"/>
  </r>
  <r>
    <x v="307"/>
    <x v="14"/>
    <x v="1"/>
    <n v="14.2"/>
    <n v="28.4"/>
    <x v="12"/>
    <d v="2025-01-18T00:00:00"/>
    <x v="2"/>
    <x v="3"/>
    <x v="0"/>
    <x v="0"/>
    <x v="39"/>
    <x v="0"/>
    <x v="2"/>
    <x v="2"/>
  </r>
  <r>
    <x v="308"/>
    <x v="8"/>
    <x v="11"/>
    <n v="22.7"/>
    <n v="204.29999999999998"/>
    <x v="13"/>
    <d v="2025-01-15T00:00:00"/>
    <x v="1"/>
    <x v="1"/>
    <x v="0"/>
    <x v="0"/>
    <x v="6"/>
    <x v="3"/>
    <x v="2"/>
    <x v="1"/>
  </r>
  <r>
    <x v="309"/>
    <x v="0"/>
    <x v="20"/>
    <n v="19.8"/>
    <n v="297"/>
    <x v="13"/>
    <d v="2025-01-14T00:00:00"/>
    <x v="2"/>
    <x v="0"/>
    <x v="2"/>
    <x v="0"/>
    <x v="6"/>
    <x v="7"/>
    <x v="2"/>
    <x v="2"/>
  </r>
  <r>
    <x v="310"/>
    <x v="0"/>
    <x v="2"/>
    <n v="31.7"/>
    <n v="95.1"/>
    <x v="13"/>
    <d v="2025-01-15T00:00:00"/>
    <x v="1"/>
    <x v="2"/>
    <x v="0"/>
    <x v="0"/>
    <x v="6"/>
    <x v="3"/>
    <x v="2"/>
    <x v="1"/>
  </r>
  <r>
    <x v="311"/>
    <x v="8"/>
    <x v="12"/>
    <n v="30.4"/>
    <n v="121.6"/>
    <x v="13"/>
    <d v="2025-01-18T00:00:00"/>
    <x v="1"/>
    <x v="0"/>
    <x v="0"/>
    <x v="0"/>
    <x v="6"/>
    <x v="5"/>
    <x v="2"/>
    <x v="1"/>
  </r>
  <r>
    <x v="312"/>
    <x v="0"/>
    <x v="12"/>
    <n v="25.6"/>
    <n v="102.4"/>
    <x v="13"/>
    <d v="2025-01-15T00:00:00"/>
    <x v="1"/>
    <x v="3"/>
    <x v="0"/>
    <x v="0"/>
    <x v="8"/>
    <x v="3"/>
    <x v="2"/>
    <x v="1"/>
  </r>
  <r>
    <x v="313"/>
    <x v="5"/>
    <x v="1"/>
    <n v="34.9"/>
    <n v="69.8"/>
    <x v="13"/>
    <d v="2025-01-15T00:00:00"/>
    <x v="2"/>
    <x v="2"/>
    <x v="0"/>
    <x v="0"/>
    <x v="9"/>
    <x v="3"/>
    <x v="2"/>
    <x v="2"/>
  </r>
  <r>
    <x v="314"/>
    <x v="7"/>
    <x v="13"/>
    <n v="42.7"/>
    <n v="256.20000000000005"/>
    <x v="13"/>
    <d v="2025-01-17T00:00:00"/>
    <x v="1"/>
    <x v="2"/>
    <x v="1"/>
    <x v="0"/>
    <x v="11"/>
    <x v="2"/>
    <x v="2"/>
    <x v="1"/>
  </r>
  <r>
    <x v="315"/>
    <x v="8"/>
    <x v="0"/>
    <n v="23.9"/>
    <n v="23.9"/>
    <x v="13"/>
    <d v="2025-01-16T00:00:00"/>
    <x v="2"/>
    <x v="3"/>
    <x v="0"/>
    <x v="0"/>
    <x v="11"/>
    <x v="1"/>
    <x v="2"/>
    <x v="2"/>
  </r>
  <r>
    <x v="316"/>
    <x v="6"/>
    <x v="0"/>
    <n v="124.3"/>
    <n v="124.3"/>
    <x v="13"/>
    <d v="2025-01-15T00:00:00"/>
    <x v="0"/>
    <x v="2"/>
    <x v="1"/>
    <x v="0"/>
    <x v="21"/>
    <x v="3"/>
    <x v="2"/>
    <x v="0"/>
  </r>
  <r>
    <x v="317"/>
    <x v="8"/>
    <x v="13"/>
    <n v="35.9"/>
    <n v="215.39999999999998"/>
    <x v="13"/>
    <d v="2025-01-15T00:00:00"/>
    <x v="2"/>
    <x v="0"/>
    <x v="1"/>
    <x v="0"/>
    <x v="1"/>
    <x v="3"/>
    <x v="2"/>
    <x v="2"/>
  </r>
  <r>
    <x v="318"/>
    <x v="2"/>
    <x v="1"/>
    <n v="69.099999999999994"/>
    <n v="138.19999999999999"/>
    <x v="13"/>
    <d v="2025-01-17T00:00:00"/>
    <x v="2"/>
    <x v="0"/>
    <x v="2"/>
    <x v="0"/>
    <x v="22"/>
    <x v="2"/>
    <x v="2"/>
    <x v="2"/>
  </r>
  <r>
    <x v="319"/>
    <x v="7"/>
    <x v="0"/>
    <n v="58.4"/>
    <n v="58.4"/>
    <x v="13"/>
    <d v="2025-01-18T00:00:00"/>
    <x v="1"/>
    <x v="0"/>
    <x v="0"/>
    <x v="0"/>
    <x v="22"/>
    <x v="5"/>
    <x v="2"/>
    <x v="1"/>
  </r>
  <r>
    <x v="320"/>
    <x v="5"/>
    <x v="0"/>
    <n v="65.2"/>
    <n v="65.2"/>
    <x v="13"/>
    <d v="2025-01-16T00:00:00"/>
    <x v="3"/>
    <x v="4"/>
    <x v="4"/>
    <x v="0"/>
    <x v="3"/>
    <x v="1"/>
    <x v="2"/>
    <x v="3"/>
  </r>
  <r>
    <x v="321"/>
    <x v="8"/>
    <x v="14"/>
    <n v="32.700000000000003"/>
    <n v="555.90000000000009"/>
    <x v="13"/>
    <d v="2025-01-21T00:00:00"/>
    <x v="0"/>
    <x v="4"/>
    <x v="0"/>
    <x v="0"/>
    <x v="3"/>
    <x v="6"/>
    <x v="2"/>
    <x v="0"/>
  </r>
  <r>
    <x v="322"/>
    <x v="10"/>
    <x v="3"/>
    <n v="24.4"/>
    <n v="170.79999999999998"/>
    <x v="13"/>
    <d v="2025-01-15T00:00:00"/>
    <x v="2"/>
    <x v="0"/>
    <x v="0"/>
    <x v="0"/>
    <x v="3"/>
    <x v="3"/>
    <x v="2"/>
    <x v="2"/>
  </r>
  <r>
    <x v="323"/>
    <x v="14"/>
    <x v="1"/>
    <n v="50.4"/>
    <n v="100.8"/>
    <x v="13"/>
    <d v="2025-01-20T00:00:00"/>
    <x v="1"/>
    <x v="0"/>
    <x v="1"/>
    <x v="0"/>
    <x v="3"/>
    <x v="4"/>
    <x v="2"/>
    <x v="1"/>
  </r>
  <r>
    <x v="324"/>
    <x v="1"/>
    <x v="1"/>
    <n v="100"/>
    <n v="200"/>
    <x v="13"/>
    <d v="2025-01-15T00:00:00"/>
    <x v="2"/>
    <x v="0"/>
    <x v="0"/>
    <x v="0"/>
    <x v="3"/>
    <x v="3"/>
    <x v="2"/>
    <x v="2"/>
  </r>
  <r>
    <x v="325"/>
    <x v="10"/>
    <x v="2"/>
    <n v="43"/>
    <n v="129"/>
    <x v="14"/>
    <d v="2025-01-15T00:00:00"/>
    <x v="2"/>
    <x v="2"/>
    <x v="1"/>
    <x v="0"/>
    <x v="3"/>
    <x v="7"/>
    <x v="2"/>
    <x v="2"/>
  </r>
  <r>
    <x v="326"/>
    <x v="1"/>
    <x v="9"/>
    <n v="64.400000000000006"/>
    <n v="322"/>
    <x v="14"/>
    <d v="2025-01-17T00:00:00"/>
    <x v="1"/>
    <x v="2"/>
    <x v="1"/>
    <x v="0"/>
    <x v="3"/>
    <x v="1"/>
    <x v="2"/>
    <x v="1"/>
  </r>
  <r>
    <x v="327"/>
    <x v="18"/>
    <x v="1"/>
    <n v="57.4"/>
    <n v="114.8"/>
    <x v="14"/>
    <d v="2025-01-16T00:00:00"/>
    <x v="1"/>
    <x v="2"/>
    <x v="1"/>
    <x v="0"/>
    <x v="3"/>
    <x v="3"/>
    <x v="2"/>
    <x v="1"/>
  </r>
  <r>
    <x v="328"/>
    <x v="2"/>
    <x v="2"/>
    <n v="55.1"/>
    <n v="165.3"/>
    <x v="14"/>
    <d v="2025-01-18T00:00:00"/>
    <x v="2"/>
    <x v="1"/>
    <x v="0"/>
    <x v="0"/>
    <x v="3"/>
    <x v="2"/>
    <x v="2"/>
    <x v="2"/>
  </r>
  <r>
    <x v="329"/>
    <x v="7"/>
    <x v="12"/>
    <n v="45.4"/>
    <n v="181.6"/>
    <x v="14"/>
    <d v="2025-01-16T00:00:00"/>
    <x v="2"/>
    <x v="1"/>
    <x v="0"/>
    <x v="0"/>
    <x v="3"/>
    <x v="3"/>
    <x v="2"/>
    <x v="2"/>
  </r>
  <r>
    <x v="330"/>
    <x v="3"/>
    <x v="2"/>
    <n v="93.3"/>
    <n v="279.89999999999998"/>
    <x v="14"/>
    <d v="2025-01-16T00:00:00"/>
    <x v="2"/>
    <x v="0"/>
    <x v="0"/>
    <x v="0"/>
    <x v="40"/>
    <x v="3"/>
    <x v="2"/>
    <x v="2"/>
  </r>
  <r>
    <x v="331"/>
    <x v="2"/>
    <x v="10"/>
    <n v="158.19999999999999"/>
    <n v="3005.7999999999997"/>
    <x v="14"/>
    <d v="2025-01-16T00:00:00"/>
    <x v="2"/>
    <x v="1"/>
    <x v="2"/>
    <x v="0"/>
    <x v="16"/>
    <x v="3"/>
    <x v="2"/>
    <x v="2"/>
  </r>
  <r>
    <x v="332"/>
    <x v="2"/>
    <x v="1"/>
    <n v="74.900000000000006"/>
    <n v="149.80000000000001"/>
    <x v="14"/>
    <d v="2025-01-17T00:00:00"/>
    <x v="1"/>
    <x v="3"/>
    <x v="0"/>
    <x v="0"/>
    <x v="6"/>
    <x v="1"/>
    <x v="2"/>
    <x v="1"/>
  </r>
  <r>
    <x v="333"/>
    <x v="8"/>
    <x v="3"/>
    <n v="26"/>
    <n v="182"/>
    <x v="14"/>
    <d v="2025-01-18T00:00:00"/>
    <x v="2"/>
    <x v="1"/>
    <x v="0"/>
    <x v="0"/>
    <x v="8"/>
    <x v="2"/>
    <x v="2"/>
    <x v="2"/>
  </r>
  <r>
    <x v="334"/>
    <x v="9"/>
    <x v="13"/>
    <n v="37.5"/>
    <n v="225"/>
    <x v="14"/>
    <d v="2025-01-16T00:00:00"/>
    <x v="2"/>
    <x v="0"/>
    <x v="1"/>
    <x v="0"/>
    <x v="8"/>
    <x v="3"/>
    <x v="2"/>
    <x v="2"/>
  </r>
  <r>
    <x v="335"/>
    <x v="6"/>
    <x v="1"/>
    <n v="75.8"/>
    <n v="151.6"/>
    <x v="14"/>
    <d v="2025-01-21T00:00:00"/>
    <x v="1"/>
    <x v="0"/>
    <x v="0"/>
    <x v="0"/>
    <x v="8"/>
    <x v="4"/>
    <x v="2"/>
    <x v="1"/>
  </r>
  <r>
    <x v="336"/>
    <x v="7"/>
    <x v="0"/>
    <n v="48.5"/>
    <n v="48.5"/>
    <x v="14"/>
    <d v="2025-01-27T00:00:00"/>
    <x v="0"/>
    <x v="4"/>
    <x v="2"/>
    <x v="0"/>
    <x v="8"/>
    <x v="13"/>
    <x v="2"/>
    <x v="0"/>
  </r>
  <r>
    <x v="337"/>
    <x v="6"/>
    <x v="2"/>
    <n v="98.9"/>
    <n v="296.70000000000005"/>
    <x v="14"/>
    <d v="2025-01-17T00:00:00"/>
    <x v="2"/>
    <x v="4"/>
    <x v="1"/>
    <x v="0"/>
    <x v="8"/>
    <x v="1"/>
    <x v="2"/>
    <x v="2"/>
  </r>
  <r>
    <x v="338"/>
    <x v="1"/>
    <x v="4"/>
    <n v="50.9"/>
    <n v="610.79999999999995"/>
    <x v="14"/>
    <d v="2025-01-15T00:00:00"/>
    <x v="1"/>
    <x v="4"/>
    <x v="0"/>
    <x v="0"/>
    <x v="8"/>
    <x v="7"/>
    <x v="2"/>
    <x v="1"/>
  </r>
  <r>
    <x v="339"/>
    <x v="12"/>
    <x v="13"/>
    <n v="84.7"/>
    <n v="508.20000000000005"/>
    <x v="14"/>
    <d v="2025-01-15T00:00:00"/>
    <x v="2"/>
    <x v="2"/>
    <x v="0"/>
    <x v="0"/>
    <x v="8"/>
    <x v="7"/>
    <x v="2"/>
    <x v="2"/>
  </r>
  <r>
    <x v="340"/>
    <x v="8"/>
    <x v="0"/>
    <n v="20.7"/>
    <n v="20.7"/>
    <x v="14"/>
    <d v="2025-01-17T00:00:00"/>
    <x v="2"/>
    <x v="3"/>
    <x v="2"/>
    <x v="0"/>
    <x v="8"/>
    <x v="1"/>
    <x v="2"/>
    <x v="2"/>
  </r>
  <r>
    <x v="341"/>
    <x v="12"/>
    <x v="11"/>
    <n v="57.8"/>
    <n v="520.19999999999993"/>
    <x v="14"/>
    <d v="2025-01-26T00:00:00"/>
    <x v="1"/>
    <x v="0"/>
    <x v="4"/>
    <x v="0"/>
    <x v="17"/>
    <x v="11"/>
    <x v="2"/>
    <x v="1"/>
  </r>
  <r>
    <x v="342"/>
    <x v="2"/>
    <x v="1"/>
    <n v="106.9"/>
    <n v="213.8"/>
    <x v="14"/>
    <d v="2025-01-17T00:00:00"/>
    <x v="2"/>
    <x v="0"/>
    <x v="2"/>
    <x v="0"/>
    <x v="41"/>
    <x v="1"/>
    <x v="2"/>
    <x v="2"/>
  </r>
  <r>
    <x v="343"/>
    <x v="3"/>
    <x v="9"/>
    <n v="45.2"/>
    <n v="226"/>
    <x v="14"/>
    <d v="2025-01-19T00:00:00"/>
    <x v="2"/>
    <x v="1"/>
    <x v="0"/>
    <x v="0"/>
    <x v="21"/>
    <x v="5"/>
    <x v="2"/>
    <x v="2"/>
  </r>
  <r>
    <x v="344"/>
    <x v="8"/>
    <x v="15"/>
    <n v="34.6"/>
    <n v="449.8"/>
    <x v="14"/>
    <d v="2025-01-15T00:00:00"/>
    <x v="2"/>
    <x v="1"/>
    <x v="1"/>
    <x v="0"/>
    <x v="21"/>
    <x v="7"/>
    <x v="2"/>
    <x v="2"/>
  </r>
  <r>
    <x v="345"/>
    <x v="15"/>
    <x v="0"/>
    <n v="43.8"/>
    <n v="43.8"/>
    <x v="14"/>
    <d v="2025-01-17T00:00:00"/>
    <x v="0"/>
    <x v="0"/>
    <x v="2"/>
    <x v="0"/>
    <x v="21"/>
    <x v="1"/>
    <x v="2"/>
    <x v="0"/>
  </r>
  <r>
    <x v="346"/>
    <x v="15"/>
    <x v="0"/>
    <n v="20.399999999999999"/>
    <n v="20.399999999999999"/>
    <x v="14"/>
    <d v="2025-01-17T00:00:00"/>
    <x v="1"/>
    <x v="4"/>
    <x v="1"/>
    <x v="0"/>
    <x v="21"/>
    <x v="1"/>
    <x v="2"/>
    <x v="1"/>
  </r>
  <r>
    <x v="347"/>
    <x v="1"/>
    <x v="0"/>
    <n v="36.700000000000003"/>
    <n v="36.700000000000003"/>
    <x v="14"/>
    <d v="2025-01-16T00:00:00"/>
    <x v="1"/>
    <x v="0"/>
    <x v="1"/>
    <x v="0"/>
    <x v="1"/>
    <x v="3"/>
    <x v="2"/>
    <x v="1"/>
  </r>
  <r>
    <x v="348"/>
    <x v="8"/>
    <x v="2"/>
    <n v="27.2"/>
    <n v="81.599999999999994"/>
    <x v="14"/>
    <d v="2025-01-19T00:00:00"/>
    <x v="1"/>
    <x v="0"/>
    <x v="2"/>
    <x v="0"/>
    <x v="1"/>
    <x v="5"/>
    <x v="2"/>
    <x v="1"/>
  </r>
  <r>
    <x v="349"/>
    <x v="6"/>
    <x v="0"/>
    <n v="58.2"/>
    <n v="58.2"/>
    <x v="14"/>
    <d v="2025-01-16T00:00:00"/>
    <x v="2"/>
    <x v="0"/>
    <x v="2"/>
    <x v="0"/>
    <x v="42"/>
    <x v="3"/>
    <x v="2"/>
    <x v="2"/>
  </r>
  <r>
    <x v="350"/>
    <x v="8"/>
    <x v="2"/>
    <n v="25.6"/>
    <n v="76.800000000000011"/>
    <x v="14"/>
    <d v="2025-01-16T00:00:00"/>
    <x v="1"/>
    <x v="4"/>
    <x v="4"/>
    <x v="0"/>
    <x v="2"/>
    <x v="3"/>
    <x v="2"/>
    <x v="1"/>
  </r>
  <r>
    <x v="351"/>
    <x v="10"/>
    <x v="0"/>
    <n v="21.2"/>
    <n v="21.2"/>
    <x v="14"/>
    <d v="2025-01-15T00:00:00"/>
    <x v="2"/>
    <x v="1"/>
    <x v="2"/>
    <x v="0"/>
    <x v="3"/>
    <x v="7"/>
    <x v="2"/>
    <x v="2"/>
  </r>
  <r>
    <x v="352"/>
    <x v="6"/>
    <x v="1"/>
    <n v="48.2"/>
    <n v="96.4"/>
    <x v="14"/>
    <d v="2025-01-23T00:00:00"/>
    <x v="2"/>
    <x v="0"/>
    <x v="2"/>
    <x v="0"/>
    <x v="3"/>
    <x v="9"/>
    <x v="2"/>
    <x v="2"/>
  </r>
  <r>
    <x v="353"/>
    <x v="1"/>
    <x v="12"/>
    <n v="83.4"/>
    <n v="333.6"/>
    <x v="15"/>
    <d v="2025-01-17T00:00:00"/>
    <x v="1"/>
    <x v="0"/>
    <x v="0"/>
    <x v="0"/>
    <x v="3"/>
    <x v="3"/>
    <x v="2"/>
    <x v="1"/>
  </r>
  <r>
    <x v="354"/>
    <x v="9"/>
    <x v="2"/>
    <n v="45.3"/>
    <n v="135.89999999999998"/>
    <x v="15"/>
    <d v="2025-01-22T00:00:00"/>
    <x v="1"/>
    <x v="2"/>
    <x v="1"/>
    <x v="0"/>
    <x v="3"/>
    <x v="4"/>
    <x v="2"/>
    <x v="1"/>
  </r>
  <r>
    <x v="355"/>
    <x v="17"/>
    <x v="0"/>
    <n v="42"/>
    <n v="42"/>
    <x v="15"/>
    <d v="2025-01-17T00:00:00"/>
    <x v="0"/>
    <x v="0"/>
    <x v="0"/>
    <x v="0"/>
    <x v="3"/>
    <x v="3"/>
    <x v="2"/>
    <x v="0"/>
  </r>
  <r>
    <x v="356"/>
    <x v="0"/>
    <x v="11"/>
    <n v="21.8"/>
    <n v="196.20000000000002"/>
    <x v="15"/>
    <d v="2025-01-18T00:00:00"/>
    <x v="2"/>
    <x v="1"/>
    <x v="0"/>
    <x v="0"/>
    <x v="3"/>
    <x v="1"/>
    <x v="2"/>
    <x v="2"/>
  </r>
  <r>
    <x v="357"/>
    <x v="8"/>
    <x v="16"/>
    <n v="21.4"/>
    <n v="385.2"/>
    <x v="15"/>
    <d v="2025-01-19T00:00:00"/>
    <x v="2"/>
    <x v="1"/>
    <x v="2"/>
    <x v="0"/>
    <x v="3"/>
    <x v="2"/>
    <x v="2"/>
    <x v="2"/>
  </r>
  <r>
    <x v="358"/>
    <x v="10"/>
    <x v="2"/>
    <n v="45"/>
    <n v="135"/>
    <x v="15"/>
    <d v="2025-01-16T00:00:00"/>
    <x v="2"/>
    <x v="1"/>
    <x v="2"/>
    <x v="0"/>
    <x v="3"/>
    <x v="7"/>
    <x v="2"/>
    <x v="2"/>
  </r>
  <r>
    <x v="359"/>
    <x v="14"/>
    <x v="0"/>
    <n v="39.6"/>
    <n v="39.6"/>
    <x v="15"/>
    <d v="2025-01-17T00:00:00"/>
    <x v="1"/>
    <x v="0"/>
    <x v="2"/>
    <x v="0"/>
    <x v="3"/>
    <x v="3"/>
    <x v="2"/>
    <x v="1"/>
  </r>
  <r>
    <x v="360"/>
    <x v="12"/>
    <x v="2"/>
    <n v="79.8"/>
    <n v="239.39999999999998"/>
    <x v="15"/>
    <d v="2025-01-22T00:00:00"/>
    <x v="2"/>
    <x v="1"/>
    <x v="4"/>
    <x v="0"/>
    <x v="3"/>
    <x v="4"/>
    <x v="2"/>
    <x v="2"/>
  </r>
  <r>
    <x v="361"/>
    <x v="1"/>
    <x v="12"/>
    <n v="63.6"/>
    <n v="254.4"/>
    <x v="15"/>
    <d v="2025-01-17T00:00:00"/>
    <x v="3"/>
    <x v="0"/>
    <x v="2"/>
    <x v="0"/>
    <x v="24"/>
    <x v="3"/>
    <x v="2"/>
    <x v="3"/>
  </r>
  <r>
    <x v="362"/>
    <x v="7"/>
    <x v="7"/>
    <n v="92.7"/>
    <n v="927"/>
    <x v="15"/>
    <d v="2025-01-20T00:00:00"/>
    <x v="1"/>
    <x v="1"/>
    <x v="2"/>
    <x v="0"/>
    <x v="6"/>
    <x v="5"/>
    <x v="2"/>
    <x v="1"/>
  </r>
  <r>
    <x v="363"/>
    <x v="1"/>
    <x v="12"/>
    <n v="48.4"/>
    <n v="193.6"/>
    <x v="15"/>
    <d v="2025-01-18T00:00:00"/>
    <x v="2"/>
    <x v="1"/>
    <x v="2"/>
    <x v="0"/>
    <x v="6"/>
    <x v="1"/>
    <x v="2"/>
    <x v="2"/>
  </r>
  <r>
    <x v="364"/>
    <x v="9"/>
    <x v="8"/>
    <n v="36"/>
    <n v="288"/>
    <x v="15"/>
    <d v="2025-01-19T00:00:00"/>
    <x v="1"/>
    <x v="2"/>
    <x v="2"/>
    <x v="0"/>
    <x v="8"/>
    <x v="2"/>
    <x v="2"/>
    <x v="1"/>
  </r>
  <r>
    <x v="365"/>
    <x v="8"/>
    <x v="4"/>
    <n v="27"/>
    <n v="324"/>
    <x v="15"/>
    <d v="2025-01-18T00:00:00"/>
    <x v="2"/>
    <x v="2"/>
    <x v="1"/>
    <x v="0"/>
    <x v="8"/>
    <x v="1"/>
    <x v="2"/>
    <x v="2"/>
  </r>
  <r>
    <x v="366"/>
    <x v="2"/>
    <x v="8"/>
    <n v="53.9"/>
    <n v="431.2"/>
    <x v="15"/>
    <d v="2025-01-17T00:00:00"/>
    <x v="0"/>
    <x v="0"/>
    <x v="0"/>
    <x v="0"/>
    <x v="8"/>
    <x v="3"/>
    <x v="2"/>
    <x v="0"/>
  </r>
  <r>
    <x v="367"/>
    <x v="3"/>
    <x v="11"/>
    <n v="48.4"/>
    <n v="435.59999999999997"/>
    <x v="15"/>
    <d v="2025-01-17T00:00:00"/>
    <x v="2"/>
    <x v="1"/>
    <x v="0"/>
    <x v="0"/>
    <x v="9"/>
    <x v="3"/>
    <x v="2"/>
    <x v="2"/>
  </r>
  <r>
    <x v="368"/>
    <x v="17"/>
    <x v="1"/>
    <n v="49.9"/>
    <n v="99.8"/>
    <x v="15"/>
    <d v="2025-01-21T00:00:00"/>
    <x v="1"/>
    <x v="4"/>
    <x v="4"/>
    <x v="0"/>
    <x v="10"/>
    <x v="0"/>
    <x v="2"/>
    <x v="1"/>
  </r>
  <r>
    <x v="369"/>
    <x v="1"/>
    <x v="2"/>
    <n v="51.7"/>
    <n v="155.10000000000002"/>
    <x v="15"/>
    <d v="2025-01-17T00:00:00"/>
    <x v="2"/>
    <x v="0"/>
    <x v="2"/>
    <x v="0"/>
    <x v="11"/>
    <x v="3"/>
    <x v="2"/>
    <x v="2"/>
  </r>
  <r>
    <x v="370"/>
    <x v="8"/>
    <x v="2"/>
    <n v="41.8"/>
    <n v="125.39999999999999"/>
    <x v="15"/>
    <d v="2025-01-18T00:00:00"/>
    <x v="2"/>
    <x v="2"/>
    <x v="0"/>
    <x v="0"/>
    <x v="18"/>
    <x v="1"/>
    <x v="2"/>
    <x v="2"/>
  </r>
  <r>
    <x v="371"/>
    <x v="4"/>
    <x v="12"/>
    <n v="36.200000000000003"/>
    <n v="144.80000000000001"/>
    <x v="16"/>
    <d v="2025-01-18T00:00:00"/>
    <x v="1"/>
    <x v="2"/>
    <x v="2"/>
    <x v="0"/>
    <x v="21"/>
    <x v="3"/>
    <x v="2"/>
    <x v="1"/>
  </r>
  <r>
    <x v="372"/>
    <x v="2"/>
    <x v="0"/>
    <n v="150.9"/>
    <n v="150.9"/>
    <x v="16"/>
    <d v="2025-01-27T00:00:00"/>
    <x v="1"/>
    <x v="0"/>
    <x v="0"/>
    <x v="0"/>
    <x v="1"/>
    <x v="14"/>
    <x v="2"/>
    <x v="1"/>
  </r>
  <r>
    <x v="373"/>
    <x v="18"/>
    <x v="12"/>
    <n v="77.599999999999994"/>
    <n v="310.39999999999998"/>
    <x v="16"/>
    <d v="2025-01-18T00:00:00"/>
    <x v="0"/>
    <x v="2"/>
    <x v="0"/>
    <x v="0"/>
    <x v="3"/>
    <x v="3"/>
    <x v="2"/>
    <x v="0"/>
  </r>
  <r>
    <x v="374"/>
    <x v="13"/>
    <x v="9"/>
    <n v="65.5"/>
    <n v="327.5"/>
    <x v="16"/>
    <d v="2025-01-17T00:00:00"/>
    <x v="1"/>
    <x v="1"/>
    <x v="0"/>
    <x v="0"/>
    <x v="3"/>
    <x v="7"/>
    <x v="2"/>
    <x v="1"/>
  </r>
  <r>
    <x v="375"/>
    <x v="6"/>
    <x v="2"/>
    <n v="90.1"/>
    <n v="270.29999999999995"/>
    <x v="16"/>
    <d v="2025-01-19T00:00:00"/>
    <x v="2"/>
    <x v="0"/>
    <x v="0"/>
    <x v="0"/>
    <x v="3"/>
    <x v="1"/>
    <x v="2"/>
    <x v="2"/>
  </r>
  <r>
    <x v="376"/>
    <x v="1"/>
    <x v="1"/>
    <n v="108.3"/>
    <n v="216.6"/>
    <x v="16"/>
    <d v="2025-01-20T00:00:00"/>
    <x v="3"/>
    <x v="4"/>
    <x v="0"/>
    <x v="0"/>
    <x v="3"/>
    <x v="2"/>
    <x v="2"/>
    <x v="3"/>
  </r>
  <r>
    <x v="377"/>
    <x v="5"/>
    <x v="2"/>
    <n v="59.9"/>
    <n v="179.7"/>
    <x v="16"/>
    <d v="2025-01-21T00:00:00"/>
    <x v="2"/>
    <x v="0"/>
    <x v="0"/>
    <x v="0"/>
    <x v="3"/>
    <x v="5"/>
    <x v="2"/>
    <x v="2"/>
  </r>
  <r>
    <x v="378"/>
    <x v="2"/>
    <x v="14"/>
    <n v="139"/>
    <n v="2363"/>
    <x v="16"/>
    <d v="2025-01-19T00:00:00"/>
    <x v="2"/>
    <x v="1"/>
    <x v="4"/>
    <x v="0"/>
    <x v="3"/>
    <x v="1"/>
    <x v="2"/>
    <x v="2"/>
  </r>
  <r>
    <x v="379"/>
    <x v="6"/>
    <x v="2"/>
    <n v="87.3"/>
    <n v="261.89999999999998"/>
    <x v="16"/>
    <d v="2025-01-18T00:00:00"/>
    <x v="2"/>
    <x v="0"/>
    <x v="0"/>
    <x v="0"/>
    <x v="3"/>
    <x v="3"/>
    <x v="2"/>
    <x v="2"/>
  </r>
  <r>
    <x v="380"/>
    <x v="11"/>
    <x v="12"/>
    <n v="42.3"/>
    <n v="169.2"/>
    <x v="16"/>
    <d v="2025-01-17T00:00:00"/>
    <x v="1"/>
    <x v="0"/>
    <x v="0"/>
    <x v="0"/>
    <x v="3"/>
    <x v="7"/>
    <x v="2"/>
    <x v="1"/>
  </r>
  <r>
    <x v="381"/>
    <x v="14"/>
    <x v="8"/>
    <n v="103.6"/>
    <n v="828.8"/>
    <x v="16"/>
    <d v="2025-01-18T00:00:00"/>
    <x v="3"/>
    <x v="0"/>
    <x v="1"/>
    <x v="0"/>
    <x v="3"/>
    <x v="3"/>
    <x v="2"/>
    <x v="3"/>
  </r>
  <r>
    <x v="382"/>
    <x v="6"/>
    <x v="1"/>
    <n v="90.9"/>
    <n v="181.8"/>
    <x v="16"/>
    <d v="2025-01-18T00:00:00"/>
    <x v="1"/>
    <x v="1"/>
    <x v="0"/>
    <x v="0"/>
    <x v="6"/>
    <x v="3"/>
    <x v="2"/>
    <x v="1"/>
  </r>
  <r>
    <x v="383"/>
    <x v="9"/>
    <x v="27"/>
    <n v="100.9"/>
    <n v="1614.4"/>
    <x v="16"/>
    <d v="2025-01-18T00:00:00"/>
    <x v="2"/>
    <x v="1"/>
    <x v="0"/>
    <x v="0"/>
    <x v="6"/>
    <x v="3"/>
    <x v="2"/>
    <x v="2"/>
  </r>
  <r>
    <x v="384"/>
    <x v="4"/>
    <x v="9"/>
    <n v="36"/>
    <n v="180"/>
    <x v="16"/>
    <d v="2025-01-19T00:00:00"/>
    <x v="2"/>
    <x v="1"/>
    <x v="0"/>
    <x v="0"/>
    <x v="7"/>
    <x v="1"/>
    <x v="2"/>
    <x v="2"/>
  </r>
  <r>
    <x v="385"/>
    <x v="6"/>
    <x v="13"/>
    <n v="83.3"/>
    <n v="499.79999999999995"/>
    <x v="16"/>
    <d v="2025-01-20T00:00:00"/>
    <x v="0"/>
    <x v="2"/>
    <x v="0"/>
    <x v="0"/>
    <x v="7"/>
    <x v="2"/>
    <x v="2"/>
    <x v="0"/>
  </r>
  <r>
    <x v="386"/>
    <x v="2"/>
    <x v="14"/>
    <n v="60.3"/>
    <n v="1025.0999999999999"/>
    <x v="16"/>
    <d v="2025-01-18T00:00:00"/>
    <x v="1"/>
    <x v="2"/>
    <x v="1"/>
    <x v="0"/>
    <x v="7"/>
    <x v="3"/>
    <x v="2"/>
    <x v="1"/>
  </r>
  <r>
    <x v="387"/>
    <x v="2"/>
    <x v="13"/>
    <n v="120.3"/>
    <n v="721.8"/>
    <x v="16"/>
    <d v="2025-01-18T00:00:00"/>
    <x v="1"/>
    <x v="2"/>
    <x v="0"/>
    <x v="0"/>
    <x v="8"/>
    <x v="3"/>
    <x v="2"/>
    <x v="1"/>
  </r>
  <r>
    <x v="388"/>
    <x v="4"/>
    <x v="7"/>
    <n v="34"/>
    <n v="340"/>
    <x v="16"/>
    <d v="2025-01-21T00:00:00"/>
    <x v="2"/>
    <x v="2"/>
    <x v="0"/>
    <x v="0"/>
    <x v="8"/>
    <x v="5"/>
    <x v="2"/>
    <x v="2"/>
  </r>
  <r>
    <x v="389"/>
    <x v="10"/>
    <x v="9"/>
    <n v="42.6"/>
    <n v="213"/>
    <x v="16"/>
    <d v="2025-01-20T00:00:00"/>
    <x v="1"/>
    <x v="1"/>
    <x v="0"/>
    <x v="0"/>
    <x v="8"/>
    <x v="2"/>
    <x v="2"/>
    <x v="1"/>
  </r>
  <r>
    <x v="390"/>
    <x v="5"/>
    <x v="28"/>
    <n v="47.4"/>
    <n v="948"/>
    <x v="16"/>
    <d v="2025-01-17T00:00:00"/>
    <x v="2"/>
    <x v="2"/>
    <x v="1"/>
    <x v="0"/>
    <x v="17"/>
    <x v="7"/>
    <x v="2"/>
    <x v="2"/>
  </r>
  <r>
    <x v="391"/>
    <x v="2"/>
    <x v="0"/>
    <n v="74"/>
    <n v="74"/>
    <x v="17"/>
    <d v="2025-01-19T00:00:00"/>
    <x v="1"/>
    <x v="1"/>
    <x v="0"/>
    <x v="0"/>
    <x v="11"/>
    <x v="3"/>
    <x v="2"/>
    <x v="1"/>
  </r>
  <r>
    <x v="392"/>
    <x v="2"/>
    <x v="9"/>
    <n v="60.4"/>
    <n v="302"/>
    <x v="17"/>
    <d v="2025-01-21T00:00:00"/>
    <x v="2"/>
    <x v="1"/>
    <x v="4"/>
    <x v="0"/>
    <x v="18"/>
    <x v="2"/>
    <x v="2"/>
    <x v="2"/>
  </r>
  <r>
    <x v="393"/>
    <x v="12"/>
    <x v="1"/>
    <n v="69.3"/>
    <n v="138.6"/>
    <x v="17"/>
    <d v="2025-01-21T00:00:00"/>
    <x v="1"/>
    <x v="1"/>
    <x v="1"/>
    <x v="0"/>
    <x v="13"/>
    <x v="2"/>
    <x v="2"/>
    <x v="1"/>
  </r>
  <r>
    <x v="394"/>
    <x v="5"/>
    <x v="9"/>
    <n v="81"/>
    <n v="405"/>
    <x v="17"/>
    <d v="2025-01-24T00:00:00"/>
    <x v="1"/>
    <x v="3"/>
    <x v="0"/>
    <x v="0"/>
    <x v="21"/>
    <x v="4"/>
    <x v="2"/>
    <x v="1"/>
  </r>
  <r>
    <x v="395"/>
    <x v="15"/>
    <x v="2"/>
    <n v="41.5"/>
    <n v="124.5"/>
    <x v="17"/>
    <d v="2025-01-20T00:00:00"/>
    <x v="3"/>
    <x v="1"/>
    <x v="0"/>
    <x v="0"/>
    <x v="21"/>
    <x v="1"/>
    <x v="2"/>
    <x v="3"/>
  </r>
  <r>
    <x v="396"/>
    <x v="18"/>
    <x v="1"/>
    <n v="69.7"/>
    <n v="139.4"/>
    <x v="17"/>
    <d v="2025-01-23T00:00:00"/>
    <x v="1"/>
    <x v="1"/>
    <x v="0"/>
    <x v="0"/>
    <x v="21"/>
    <x v="0"/>
    <x v="2"/>
    <x v="1"/>
  </r>
  <r>
    <x v="397"/>
    <x v="2"/>
    <x v="9"/>
    <n v="83.6"/>
    <n v="418"/>
    <x v="17"/>
    <d v="2025-01-18T00:00:00"/>
    <x v="2"/>
    <x v="4"/>
    <x v="0"/>
    <x v="0"/>
    <x v="1"/>
    <x v="7"/>
    <x v="2"/>
    <x v="2"/>
  </r>
  <r>
    <x v="398"/>
    <x v="8"/>
    <x v="3"/>
    <n v="21.5"/>
    <n v="150.5"/>
    <x v="17"/>
    <d v="2025-01-20T00:00:00"/>
    <x v="1"/>
    <x v="1"/>
    <x v="4"/>
    <x v="0"/>
    <x v="34"/>
    <x v="1"/>
    <x v="2"/>
    <x v="1"/>
  </r>
  <r>
    <x v="399"/>
    <x v="8"/>
    <x v="8"/>
    <n v="28.6"/>
    <n v="228.8"/>
    <x v="17"/>
    <d v="2025-01-19T00:00:00"/>
    <x v="1"/>
    <x v="0"/>
    <x v="0"/>
    <x v="0"/>
    <x v="3"/>
    <x v="3"/>
    <x v="2"/>
    <x v="1"/>
  </r>
  <r>
    <x v="400"/>
    <x v="8"/>
    <x v="13"/>
    <n v="18.8"/>
    <n v="112.80000000000001"/>
    <x v="17"/>
    <d v="2025-01-21T00:00:00"/>
    <x v="1"/>
    <x v="3"/>
    <x v="2"/>
    <x v="0"/>
    <x v="3"/>
    <x v="2"/>
    <x v="2"/>
    <x v="1"/>
  </r>
  <r>
    <x v="401"/>
    <x v="10"/>
    <x v="12"/>
    <n v="35.1"/>
    <n v="140.4"/>
    <x v="17"/>
    <d v="2025-01-18T00:00:00"/>
    <x v="2"/>
    <x v="1"/>
    <x v="1"/>
    <x v="0"/>
    <x v="3"/>
    <x v="7"/>
    <x v="2"/>
    <x v="2"/>
  </r>
  <r>
    <x v="402"/>
    <x v="0"/>
    <x v="1"/>
    <n v="12.7"/>
    <n v="25.4"/>
    <x v="17"/>
    <d v="2025-01-20T00:00:00"/>
    <x v="2"/>
    <x v="1"/>
    <x v="2"/>
    <x v="0"/>
    <x v="3"/>
    <x v="1"/>
    <x v="2"/>
    <x v="2"/>
  </r>
  <r>
    <x v="403"/>
    <x v="8"/>
    <x v="9"/>
    <n v="27.4"/>
    <n v="137"/>
    <x v="17"/>
    <d v="2025-01-20T00:00:00"/>
    <x v="3"/>
    <x v="0"/>
    <x v="0"/>
    <x v="0"/>
    <x v="3"/>
    <x v="1"/>
    <x v="2"/>
    <x v="3"/>
  </r>
  <r>
    <x v="404"/>
    <x v="10"/>
    <x v="1"/>
    <n v="61.3"/>
    <n v="122.6"/>
    <x v="17"/>
    <d v="2025-01-19T00:00:00"/>
    <x v="2"/>
    <x v="1"/>
    <x v="0"/>
    <x v="0"/>
    <x v="6"/>
    <x v="3"/>
    <x v="2"/>
    <x v="2"/>
  </r>
  <r>
    <x v="405"/>
    <x v="8"/>
    <x v="1"/>
    <n v="64.7"/>
    <n v="129.4"/>
    <x v="17"/>
    <d v="2025-01-20T00:00:00"/>
    <x v="2"/>
    <x v="3"/>
    <x v="2"/>
    <x v="0"/>
    <x v="6"/>
    <x v="1"/>
    <x v="2"/>
    <x v="2"/>
  </r>
  <r>
    <x v="406"/>
    <x v="7"/>
    <x v="12"/>
    <n v="91.4"/>
    <n v="365.6"/>
    <x v="17"/>
    <d v="2025-01-20T00:00:00"/>
    <x v="2"/>
    <x v="0"/>
    <x v="0"/>
    <x v="0"/>
    <x v="8"/>
    <x v="1"/>
    <x v="2"/>
    <x v="2"/>
  </r>
  <r>
    <x v="407"/>
    <x v="0"/>
    <x v="1"/>
    <n v="33.1"/>
    <n v="66.2"/>
    <x v="18"/>
    <d v="2025-01-20T00:00:00"/>
    <x v="1"/>
    <x v="0"/>
    <x v="2"/>
    <x v="0"/>
    <x v="8"/>
    <x v="3"/>
    <x v="3"/>
    <x v="1"/>
  </r>
  <r>
    <x v="408"/>
    <x v="3"/>
    <x v="1"/>
    <n v="105.6"/>
    <n v="211.2"/>
    <x v="18"/>
    <d v="2025-01-20T00:00:00"/>
    <x v="1"/>
    <x v="2"/>
    <x v="1"/>
    <x v="0"/>
    <x v="8"/>
    <x v="3"/>
    <x v="3"/>
    <x v="1"/>
  </r>
  <r>
    <x v="409"/>
    <x v="10"/>
    <x v="2"/>
    <n v="46.4"/>
    <n v="139.19999999999999"/>
    <x v="18"/>
    <d v="2025-01-20T00:00:00"/>
    <x v="1"/>
    <x v="2"/>
    <x v="0"/>
    <x v="0"/>
    <x v="9"/>
    <x v="3"/>
    <x v="3"/>
    <x v="1"/>
  </r>
  <r>
    <x v="410"/>
    <x v="9"/>
    <x v="21"/>
    <n v="35.299999999999997"/>
    <n v="494.19999999999993"/>
    <x v="18"/>
    <d v="2025-01-22T00:00:00"/>
    <x v="2"/>
    <x v="4"/>
    <x v="1"/>
    <x v="0"/>
    <x v="11"/>
    <x v="2"/>
    <x v="3"/>
    <x v="2"/>
  </r>
  <r>
    <x v="411"/>
    <x v="0"/>
    <x v="1"/>
    <n v="16.100000000000001"/>
    <n v="32.200000000000003"/>
    <x v="18"/>
    <d v="2025-01-21T00:00:00"/>
    <x v="1"/>
    <x v="3"/>
    <x v="2"/>
    <x v="0"/>
    <x v="32"/>
    <x v="1"/>
    <x v="3"/>
    <x v="1"/>
  </r>
  <r>
    <x v="412"/>
    <x v="4"/>
    <x v="1"/>
    <n v="27.9"/>
    <n v="55.8"/>
    <x v="18"/>
    <d v="2025-01-22T00:00:00"/>
    <x v="1"/>
    <x v="0"/>
    <x v="0"/>
    <x v="0"/>
    <x v="13"/>
    <x v="2"/>
    <x v="3"/>
    <x v="1"/>
  </r>
  <r>
    <x v="413"/>
    <x v="8"/>
    <x v="0"/>
    <n v="47.1"/>
    <n v="47.1"/>
    <x v="18"/>
    <d v="2025-01-27T00:00:00"/>
    <x v="2"/>
    <x v="1"/>
    <x v="0"/>
    <x v="0"/>
    <x v="2"/>
    <x v="9"/>
    <x v="3"/>
    <x v="2"/>
  </r>
  <r>
    <x v="414"/>
    <x v="6"/>
    <x v="1"/>
    <n v="85"/>
    <n v="170"/>
    <x v="18"/>
    <d v="2025-01-22T00:00:00"/>
    <x v="0"/>
    <x v="2"/>
    <x v="2"/>
    <x v="0"/>
    <x v="22"/>
    <x v="2"/>
    <x v="3"/>
    <x v="0"/>
  </r>
  <r>
    <x v="415"/>
    <x v="18"/>
    <x v="1"/>
    <n v="89"/>
    <n v="178"/>
    <x v="18"/>
    <d v="2025-01-21T00:00:00"/>
    <x v="2"/>
    <x v="0"/>
    <x v="0"/>
    <x v="0"/>
    <x v="3"/>
    <x v="1"/>
    <x v="3"/>
    <x v="2"/>
  </r>
  <r>
    <x v="416"/>
    <x v="16"/>
    <x v="2"/>
    <n v="36.6"/>
    <n v="109.80000000000001"/>
    <x v="18"/>
    <d v="2025-01-20T00:00:00"/>
    <x v="3"/>
    <x v="3"/>
    <x v="2"/>
    <x v="0"/>
    <x v="3"/>
    <x v="3"/>
    <x v="3"/>
    <x v="3"/>
  </r>
  <r>
    <x v="417"/>
    <x v="6"/>
    <x v="3"/>
    <n v="43.5"/>
    <n v="304.5"/>
    <x v="18"/>
    <d v="2025-01-20T00:00:00"/>
    <x v="1"/>
    <x v="1"/>
    <x v="2"/>
    <x v="0"/>
    <x v="3"/>
    <x v="3"/>
    <x v="3"/>
    <x v="1"/>
  </r>
  <r>
    <x v="418"/>
    <x v="9"/>
    <x v="10"/>
    <n v="30.5"/>
    <n v="579.5"/>
    <x v="18"/>
    <d v="2025-01-19T00:00:00"/>
    <x v="2"/>
    <x v="3"/>
    <x v="0"/>
    <x v="0"/>
    <x v="3"/>
    <x v="7"/>
    <x v="3"/>
    <x v="2"/>
  </r>
  <r>
    <x v="419"/>
    <x v="1"/>
    <x v="1"/>
    <n v="107.7"/>
    <n v="215.4"/>
    <x v="18"/>
    <d v="2025-01-23T00:00:00"/>
    <x v="1"/>
    <x v="3"/>
    <x v="4"/>
    <x v="0"/>
    <x v="3"/>
    <x v="5"/>
    <x v="3"/>
    <x v="1"/>
  </r>
  <r>
    <x v="420"/>
    <x v="17"/>
    <x v="18"/>
    <n v="57.1"/>
    <n v="1484.6000000000001"/>
    <x v="18"/>
    <d v="2025-01-20T00:00:00"/>
    <x v="1"/>
    <x v="1"/>
    <x v="0"/>
    <x v="0"/>
    <x v="3"/>
    <x v="3"/>
    <x v="3"/>
    <x v="1"/>
  </r>
  <r>
    <x v="421"/>
    <x v="2"/>
    <x v="7"/>
    <n v="111.7"/>
    <n v="1117"/>
    <x v="18"/>
    <d v="2025-01-20T00:00:00"/>
    <x v="2"/>
    <x v="4"/>
    <x v="2"/>
    <x v="0"/>
    <x v="3"/>
    <x v="3"/>
    <x v="3"/>
    <x v="2"/>
  </r>
  <r>
    <x v="422"/>
    <x v="18"/>
    <x v="3"/>
    <n v="44.3"/>
    <n v="310.09999999999997"/>
    <x v="18"/>
    <d v="2025-01-22T00:00:00"/>
    <x v="1"/>
    <x v="3"/>
    <x v="2"/>
    <x v="0"/>
    <x v="3"/>
    <x v="2"/>
    <x v="3"/>
    <x v="1"/>
  </r>
  <r>
    <x v="423"/>
    <x v="2"/>
    <x v="8"/>
    <n v="95.8"/>
    <n v="766.4"/>
    <x v="18"/>
    <d v="2025-01-25T00:00:00"/>
    <x v="3"/>
    <x v="0"/>
    <x v="0"/>
    <x v="0"/>
    <x v="3"/>
    <x v="4"/>
    <x v="3"/>
    <x v="3"/>
  </r>
  <r>
    <x v="424"/>
    <x v="10"/>
    <x v="3"/>
    <n v="22.6"/>
    <n v="158.20000000000002"/>
    <x v="18"/>
    <d v="2025-01-22T00:00:00"/>
    <x v="2"/>
    <x v="3"/>
    <x v="1"/>
    <x v="0"/>
    <x v="3"/>
    <x v="2"/>
    <x v="3"/>
    <x v="2"/>
  </r>
  <r>
    <x v="425"/>
    <x v="8"/>
    <x v="8"/>
    <n v="25.6"/>
    <n v="204.8"/>
    <x v="18"/>
    <d v="2025-01-21T00:00:00"/>
    <x v="2"/>
    <x v="4"/>
    <x v="0"/>
    <x v="0"/>
    <x v="3"/>
    <x v="1"/>
    <x v="3"/>
    <x v="2"/>
  </r>
  <r>
    <x v="426"/>
    <x v="6"/>
    <x v="27"/>
    <n v="54.3"/>
    <n v="868.8"/>
    <x v="18"/>
    <d v="2025-01-22T00:00:00"/>
    <x v="2"/>
    <x v="4"/>
    <x v="0"/>
    <x v="0"/>
    <x v="3"/>
    <x v="2"/>
    <x v="3"/>
    <x v="2"/>
  </r>
  <r>
    <x v="427"/>
    <x v="18"/>
    <x v="15"/>
    <n v="51.3"/>
    <n v="666.9"/>
    <x v="18"/>
    <d v="2025-01-21T00:00:00"/>
    <x v="1"/>
    <x v="0"/>
    <x v="2"/>
    <x v="0"/>
    <x v="3"/>
    <x v="1"/>
    <x v="3"/>
    <x v="1"/>
  </r>
  <r>
    <x v="428"/>
    <x v="0"/>
    <x v="8"/>
    <n v="25.6"/>
    <n v="204.8"/>
    <x v="18"/>
    <d v="2025-01-20T00:00:00"/>
    <x v="2"/>
    <x v="1"/>
    <x v="1"/>
    <x v="0"/>
    <x v="3"/>
    <x v="3"/>
    <x v="3"/>
    <x v="2"/>
  </r>
  <r>
    <x v="429"/>
    <x v="0"/>
    <x v="1"/>
    <n v="15.6"/>
    <n v="31.2"/>
    <x v="18"/>
    <d v="2025-01-20T00:00:00"/>
    <x v="2"/>
    <x v="2"/>
    <x v="2"/>
    <x v="0"/>
    <x v="3"/>
    <x v="3"/>
    <x v="3"/>
    <x v="2"/>
  </r>
  <r>
    <x v="430"/>
    <x v="8"/>
    <x v="2"/>
    <n v="30.3"/>
    <n v="90.9"/>
    <x v="18"/>
    <d v="2025-01-23T00:00:00"/>
    <x v="2"/>
    <x v="0"/>
    <x v="1"/>
    <x v="0"/>
    <x v="3"/>
    <x v="5"/>
    <x v="3"/>
    <x v="2"/>
  </r>
  <r>
    <x v="431"/>
    <x v="12"/>
    <x v="1"/>
    <n v="30.3"/>
    <n v="60.6"/>
    <x v="18"/>
    <d v="2025-01-24T00:00:00"/>
    <x v="2"/>
    <x v="0"/>
    <x v="2"/>
    <x v="0"/>
    <x v="37"/>
    <x v="0"/>
    <x v="3"/>
    <x v="2"/>
  </r>
  <r>
    <x v="432"/>
    <x v="10"/>
    <x v="2"/>
    <n v="53"/>
    <n v="159"/>
    <x v="18"/>
    <d v="2025-01-26T00:00:00"/>
    <x v="2"/>
    <x v="2"/>
    <x v="0"/>
    <x v="0"/>
    <x v="24"/>
    <x v="6"/>
    <x v="3"/>
    <x v="2"/>
  </r>
  <r>
    <x v="433"/>
    <x v="5"/>
    <x v="16"/>
    <n v="59.9"/>
    <n v="1078.2"/>
    <x v="18"/>
    <d v="2025-01-22T00:00:00"/>
    <x v="1"/>
    <x v="2"/>
    <x v="4"/>
    <x v="0"/>
    <x v="25"/>
    <x v="2"/>
    <x v="3"/>
    <x v="1"/>
  </r>
  <r>
    <x v="434"/>
    <x v="9"/>
    <x v="1"/>
    <n v="45.7"/>
    <n v="91.4"/>
    <x v="18"/>
    <d v="2025-01-20T00:00:00"/>
    <x v="2"/>
    <x v="1"/>
    <x v="2"/>
    <x v="0"/>
    <x v="6"/>
    <x v="3"/>
    <x v="3"/>
    <x v="2"/>
  </r>
  <r>
    <x v="435"/>
    <x v="8"/>
    <x v="12"/>
    <n v="46.1"/>
    <n v="184.4"/>
    <x v="18"/>
    <d v="2025-01-20T00:00:00"/>
    <x v="1"/>
    <x v="0"/>
    <x v="0"/>
    <x v="0"/>
    <x v="6"/>
    <x v="3"/>
    <x v="3"/>
    <x v="1"/>
  </r>
  <r>
    <x v="436"/>
    <x v="8"/>
    <x v="2"/>
    <n v="17.5"/>
    <n v="52.5"/>
    <x v="18"/>
    <d v="2025-01-20T00:00:00"/>
    <x v="2"/>
    <x v="0"/>
    <x v="2"/>
    <x v="0"/>
    <x v="8"/>
    <x v="3"/>
    <x v="3"/>
    <x v="2"/>
  </r>
  <r>
    <x v="437"/>
    <x v="10"/>
    <x v="2"/>
    <n v="36.5"/>
    <n v="109.5"/>
    <x v="18"/>
    <d v="2025-01-30T00:00:00"/>
    <x v="1"/>
    <x v="2"/>
    <x v="0"/>
    <x v="0"/>
    <x v="8"/>
    <x v="11"/>
    <x v="3"/>
    <x v="1"/>
  </r>
  <r>
    <x v="438"/>
    <x v="8"/>
    <x v="1"/>
    <n v="47.5"/>
    <n v="95"/>
    <x v="19"/>
    <d v="2025-01-22T00:00:00"/>
    <x v="2"/>
    <x v="1"/>
    <x v="0"/>
    <x v="0"/>
    <x v="8"/>
    <x v="1"/>
    <x v="3"/>
    <x v="2"/>
  </r>
  <r>
    <x v="439"/>
    <x v="6"/>
    <x v="9"/>
    <n v="45.6"/>
    <n v="228"/>
    <x v="19"/>
    <d v="2025-01-22T00:00:00"/>
    <x v="2"/>
    <x v="0"/>
    <x v="2"/>
    <x v="0"/>
    <x v="8"/>
    <x v="1"/>
    <x v="3"/>
    <x v="2"/>
  </r>
  <r>
    <x v="440"/>
    <x v="9"/>
    <x v="1"/>
    <n v="50.5"/>
    <n v="101"/>
    <x v="19"/>
    <d v="2025-01-22T00:00:00"/>
    <x v="1"/>
    <x v="0"/>
    <x v="1"/>
    <x v="0"/>
    <x v="17"/>
    <x v="1"/>
    <x v="3"/>
    <x v="1"/>
  </r>
  <r>
    <x v="441"/>
    <x v="2"/>
    <x v="7"/>
    <n v="99.8"/>
    <n v="998"/>
    <x v="19"/>
    <d v="2025-01-23T00:00:00"/>
    <x v="2"/>
    <x v="2"/>
    <x v="1"/>
    <x v="0"/>
    <x v="17"/>
    <x v="2"/>
    <x v="3"/>
    <x v="2"/>
  </r>
  <r>
    <x v="442"/>
    <x v="8"/>
    <x v="20"/>
    <n v="19.2"/>
    <n v="288"/>
    <x v="19"/>
    <d v="2025-01-22T00:00:00"/>
    <x v="3"/>
    <x v="4"/>
    <x v="1"/>
    <x v="0"/>
    <x v="26"/>
    <x v="1"/>
    <x v="3"/>
    <x v="3"/>
  </r>
  <r>
    <x v="443"/>
    <x v="17"/>
    <x v="2"/>
    <n v="22.6"/>
    <n v="67.800000000000011"/>
    <x v="19"/>
    <d v="2025-01-21T00:00:00"/>
    <x v="1"/>
    <x v="1"/>
    <x v="0"/>
    <x v="0"/>
    <x v="11"/>
    <x v="3"/>
    <x v="3"/>
    <x v="1"/>
  </r>
  <r>
    <x v="444"/>
    <x v="1"/>
    <x v="20"/>
    <n v="126.9"/>
    <n v="1903.5"/>
    <x v="19"/>
    <d v="2025-01-22T00:00:00"/>
    <x v="2"/>
    <x v="0"/>
    <x v="2"/>
    <x v="0"/>
    <x v="11"/>
    <x v="1"/>
    <x v="3"/>
    <x v="2"/>
  </r>
  <r>
    <x v="445"/>
    <x v="2"/>
    <x v="1"/>
    <n v="100.3"/>
    <n v="200.6"/>
    <x v="19"/>
    <d v="2025-01-21T00:00:00"/>
    <x v="2"/>
    <x v="0"/>
    <x v="1"/>
    <x v="0"/>
    <x v="11"/>
    <x v="3"/>
    <x v="3"/>
    <x v="2"/>
  </r>
  <r>
    <x v="446"/>
    <x v="4"/>
    <x v="16"/>
    <n v="24.6"/>
    <n v="442.8"/>
    <x v="19"/>
    <d v="2025-01-21T00:00:00"/>
    <x v="2"/>
    <x v="4"/>
    <x v="0"/>
    <x v="0"/>
    <x v="13"/>
    <x v="3"/>
    <x v="3"/>
    <x v="2"/>
  </r>
  <r>
    <x v="447"/>
    <x v="6"/>
    <x v="1"/>
    <n v="47.3"/>
    <n v="94.6"/>
    <x v="19"/>
    <d v="2025-01-21T00:00:00"/>
    <x v="1"/>
    <x v="1"/>
    <x v="2"/>
    <x v="0"/>
    <x v="13"/>
    <x v="3"/>
    <x v="3"/>
    <x v="1"/>
  </r>
  <r>
    <x v="448"/>
    <x v="6"/>
    <x v="3"/>
    <n v="40.799999999999997"/>
    <n v="285.59999999999997"/>
    <x v="19"/>
    <d v="2025-01-23T00:00:00"/>
    <x v="2"/>
    <x v="2"/>
    <x v="2"/>
    <x v="0"/>
    <x v="21"/>
    <x v="2"/>
    <x v="3"/>
    <x v="2"/>
  </r>
  <r>
    <x v="449"/>
    <x v="8"/>
    <x v="8"/>
    <n v="49.2"/>
    <n v="393.6"/>
    <x v="19"/>
    <d v="2025-01-22T00:00:00"/>
    <x v="2"/>
    <x v="0"/>
    <x v="0"/>
    <x v="0"/>
    <x v="1"/>
    <x v="1"/>
    <x v="3"/>
    <x v="2"/>
  </r>
  <r>
    <x v="450"/>
    <x v="8"/>
    <x v="0"/>
    <n v="28.5"/>
    <n v="28.5"/>
    <x v="19"/>
    <d v="2025-01-22T00:00:00"/>
    <x v="0"/>
    <x v="2"/>
    <x v="1"/>
    <x v="0"/>
    <x v="3"/>
    <x v="1"/>
    <x v="3"/>
    <x v="0"/>
  </r>
  <r>
    <x v="451"/>
    <x v="18"/>
    <x v="1"/>
    <n v="36.799999999999997"/>
    <n v="73.599999999999994"/>
    <x v="19"/>
    <d v="2025-01-26T00:00:00"/>
    <x v="2"/>
    <x v="0"/>
    <x v="2"/>
    <x v="0"/>
    <x v="3"/>
    <x v="4"/>
    <x v="3"/>
    <x v="2"/>
  </r>
  <r>
    <x v="452"/>
    <x v="7"/>
    <x v="2"/>
    <n v="33.5"/>
    <n v="100.5"/>
    <x v="19"/>
    <d v="2025-01-21T00:00:00"/>
    <x v="2"/>
    <x v="0"/>
    <x v="1"/>
    <x v="0"/>
    <x v="3"/>
    <x v="3"/>
    <x v="3"/>
    <x v="2"/>
  </r>
  <r>
    <x v="453"/>
    <x v="6"/>
    <x v="13"/>
    <n v="62.5"/>
    <n v="375"/>
    <x v="19"/>
    <d v="2025-01-22T00:00:00"/>
    <x v="2"/>
    <x v="0"/>
    <x v="0"/>
    <x v="0"/>
    <x v="3"/>
    <x v="1"/>
    <x v="3"/>
    <x v="2"/>
  </r>
  <r>
    <x v="454"/>
    <x v="8"/>
    <x v="29"/>
    <n v="47.9"/>
    <n v="1916"/>
    <x v="19"/>
    <d v="2025-01-21T00:00:00"/>
    <x v="2"/>
    <x v="3"/>
    <x v="0"/>
    <x v="0"/>
    <x v="3"/>
    <x v="3"/>
    <x v="3"/>
    <x v="2"/>
  </r>
  <r>
    <x v="455"/>
    <x v="6"/>
    <x v="13"/>
    <n v="92.9"/>
    <n v="557.40000000000009"/>
    <x v="19"/>
    <d v="2025-01-31T00:00:00"/>
    <x v="2"/>
    <x v="0"/>
    <x v="4"/>
    <x v="0"/>
    <x v="3"/>
    <x v="11"/>
    <x v="3"/>
    <x v="2"/>
  </r>
  <r>
    <x v="456"/>
    <x v="12"/>
    <x v="2"/>
    <n v="44.1"/>
    <n v="132.30000000000001"/>
    <x v="19"/>
    <d v="2025-01-20T00:00:00"/>
    <x v="2"/>
    <x v="1"/>
    <x v="1"/>
    <x v="0"/>
    <x v="43"/>
    <x v="7"/>
    <x v="3"/>
    <x v="2"/>
  </r>
  <r>
    <x v="457"/>
    <x v="0"/>
    <x v="0"/>
    <n v="11.4"/>
    <n v="11.4"/>
    <x v="20"/>
    <d v="2025-01-23T00:00:00"/>
    <x v="2"/>
    <x v="2"/>
    <x v="0"/>
    <x v="0"/>
    <x v="5"/>
    <x v="1"/>
    <x v="3"/>
    <x v="2"/>
  </r>
  <r>
    <x v="458"/>
    <x v="6"/>
    <x v="0"/>
    <n v="83.7"/>
    <n v="83.7"/>
    <x v="20"/>
    <d v="2025-01-23T00:00:00"/>
    <x v="2"/>
    <x v="0"/>
    <x v="2"/>
    <x v="0"/>
    <x v="6"/>
    <x v="1"/>
    <x v="3"/>
    <x v="2"/>
  </r>
  <r>
    <x v="459"/>
    <x v="10"/>
    <x v="1"/>
    <n v="23.2"/>
    <n v="46.4"/>
    <x v="20"/>
    <d v="2025-01-22T00:00:00"/>
    <x v="1"/>
    <x v="2"/>
    <x v="0"/>
    <x v="0"/>
    <x v="8"/>
    <x v="3"/>
    <x v="3"/>
    <x v="1"/>
  </r>
  <r>
    <x v="460"/>
    <x v="2"/>
    <x v="0"/>
    <n v="162.1"/>
    <n v="162.1"/>
    <x v="20"/>
    <d v="2025-01-24T00:00:00"/>
    <x v="2"/>
    <x v="0"/>
    <x v="2"/>
    <x v="0"/>
    <x v="9"/>
    <x v="2"/>
    <x v="3"/>
    <x v="2"/>
  </r>
  <r>
    <x v="461"/>
    <x v="6"/>
    <x v="12"/>
    <n v="49.2"/>
    <n v="196.8"/>
    <x v="20"/>
    <d v="2025-01-25T00:00:00"/>
    <x v="1"/>
    <x v="1"/>
    <x v="0"/>
    <x v="0"/>
    <x v="9"/>
    <x v="5"/>
    <x v="3"/>
    <x v="1"/>
  </r>
  <r>
    <x v="462"/>
    <x v="1"/>
    <x v="1"/>
    <n v="61"/>
    <n v="122"/>
    <x v="20"/>
    <d v="2025-01-22T00:00:00"/>
    <x v="1"/>
    <x v="3"/>
    <x v="0"/>
    <x v="0"/>
    <x v="10"/>
    <x v="3"/>
    <x v="3"/>
    <x v="1"/>
  </r>
  <r>
    <x v="463"/>
    <x v="2"/>
    <x v="7"/>
    <n v="53.1"/>
    <n v="531"/>
    <x v="20"/>
    <d v="2025-01-23T00:00:00"/>
    <x v="1"/>
    <x v="0"/>
    <x v="0"/>
    <x v="0"/>
    <x v="11"/>
    <x v="1"/>
    <x v="3"/>
    <x v="1"/>
  </r>
  <r>
    <x v="464"/>
    <x v="4"/>
    <x v="1"/>
    <n v="22.4"/>
    <n v="44.8"/>
    <x v="20"/>
    <d v="2025-01-23T00:00:00"/>
    <x v="0"/>
    <x v="1"/>
    <x v="2"/>
    <x v="0"/>
    <x v="13"/>
    <x v="1"/>
    <x v="3"/>
    <x v="0"/>
  </r>
  <r>
    <x v="465"/>
    <x v="1"/>
    <x v="9"/>
    <n v="75.3"/>
    <n v="376.5"/>
    <x v="20"/>
    <d v="2025-01-22T00:00:00"/>
    <x v="1"/>
    <x v="0"/>
    <x v="0"/>
    <x v="0"/>
    <x v="21"/>
    <x v="3"/>
    <x v="3"/>
    <x v="1"/>
  </r>
  <r>
    <x v="466"/>
    <x v="6"/>
    <x v="0"/>
    <n v="48.5"/>
    <n v="48.5"/>
    <x v="20"/>
    <d v="2025-01-22T00:00:00"/>
    <x v="2"/>
    <x v="0"/>
    <x v="1"/>
    <x v="0"/>
    <x v="21"/>
    <x v="3"/>
    <x v="3"/>
    <x v="2"/>
  </r>
  <r>
    <x v="467"/>
    <x v="6"/>
    <x v="0"/>
    <n v="42.6"/>
    <n v="42.6"/>
    <x v="20"/>
    <d v="2025-01-25T00:00:00"/>
    <x v="2"/>
    <x v="3"/>
    <x v="0"/>
    <x v="0"/>
    <x v="1"/>
    <x v="5"/>
    <x v="3"/>
    <x v="2"/>
  </r>
  <r>
    <x v="468"/>
    <x v="5"/>
    <x v="9"/>
    <n v="49"/>
    <n v="245"/>
    <x v="20"/>
    <d v="2025-01-22T00:00:00"/>
    <x v="1"/>
    <x v="0"/>
    <x v="0"/>
    <x v="0"/>
    <x v="22"/>
    <x v="3"/>
    <x v="3"/>
    <x v="1"/>
  </r>
  <r>
    <x v="469"/>
    <x v="8"/>
    <x v="2"/>
    <n v="31.3"/>
    <n v="93.9"/>
    <x v="20"/>
    <d v="2025-01-22T00:00:00"/>
    <x v="1"/>
    <x v="2"/>
    <x v="1"/>
    <x v="0"/>
    <x v="3"/>
    <x v="3"/>
    <x v="3"/>
    <x v="1"/>
  </r>
  <r>
    <x v="470"/>
    <x v="2"/>
    <x v="1"/>
    <n v="85.4"/>
    <n v="170.8"/>
    <x v="20"/>
    <d v="2025-01-22T00:00:00"/>
    <x v="2"/>
    <x v="2"/>
    <x v="0"/>
    <x v="0"/>
    <x v="3"/>
    <x v="3"/>
    <x v="3"/>
    <x v="2"/>
  </r>
  <r>
    <x v="471"/>
    <x v="8"/>
    <x v="12"/>
    <n v="40"/>
    <n v="160"/>
    <x v="20"/>
    <d v="2025-01-22T00:00:00"/>
    <x v="3"/>
    <x v="0"/>
    <x v="2"/>
    <x v="0"/>
    <x v="3"/>
    <x v="3"/>
    <x v="3"/>
    <x v="3"/>
  </r>
  <r>
    <x v="472"/>
    <x v="5"/>
    <x v="1"/>
    <n v="38.5"/>
    <n v="77"/>
    <x v="20"/>
    <d v="2025-01-24T00:00:00"/>
    <x v="1"/>
    <x v="1"/>
    <x v="2"/>
    <x v="0"/>
    <x v="3"/>
    <x v="2"/>
    <x v="3"/>
    <x v="1"/>
  </r>
  <r>
    <x v="473"/>
    <x v="2"/>
    <x v="1"/>
    <n v="57.8"/>
    <n v="115.6"/>
    <x v="20"/>
    <d v="2025-01-22T00:00:00"/>
    <x v="0"/>
    <x v="0"/>
    <x v="0"/>
    <x v="0"/>
    <x v="3"/>
    <x v="3"/>
    <x v="3"/>
    <x v="0"/>
  </r>
  <r>
    <x v="474"/>
    <x v="8"/>
    <x v="0"/>
    <n v="19.2"/>
    <n v="19.2"/>
    <x v="20"/>
    <d v="2025-01-22T00:00:00"/>
    <x v="2"/>
    <x v="0"/>
    <x v="4"/>
    <x v="0"/>
    <x v="3"/>
    <x v="3"/>
    <x v="3"/>
    <x v="2"/>
  </r>
  <r>
    <x v="475"/>
    <x v="6"/>
    <x v="13"/>
    <n v="114.8"/>
    <n v="688.8"/>
    <x v="20"/>
    <d v="2025-01-24T00:00:00"/>
    <x v="1"/>
    <x v="1"/>
    <x v="1"/>
    <x v="0"/>
    <x v="3"/>
    <x v="2"/>
    <x v="3"/>
    <x v="1"/>
  </r>
  <r>
    <x v="476"/>
    <x v="10"/>
    <x v="3"/>
    <n v="48.4"/>
    <n v="338.8"/>
    <x v="20"/>
    <d v="2025-01-24T00:00:00"/>
    <x v="2"/>
    <x v="3"/>
    <x v="1"/>
    <x v="0"/>
    <x v="3"/>
    <x v="2"/>
    <x v="3"/>
    <x v="2"/>
  </r>
  <r>
    <x v="477"/>
    <x v="9"/>
    <x v="9"/>
    <n v="73.2"/>
    <n v="366"/>
    <x v="20"/>
    <d v="2025-01-22T00:00:00"/>
    <x v="2"/>
    <x v="1"/>
    <x v="4"/>
    <x v="0"/>
    <x v="3"/>
    <x v="3"/>
    <x v="3"/>
    <x v="2"/>
  </r>
  <r>
    <x v="478"/>
    <x v="15"/>
    <x v="1"/>
    <n v="48.6"/>
    <n v="97.2"/>
    <x v="20"/>
    <d v="2025-01-25T00:00:00"/>
    <x v="2"/>
    <x v="3"/>
    <x v="0"/>
    <x v="0"/>
    <x v="3"/>
    <x v="5"/>
    <x v="3"/>
    <x v="2"/>
  </r>
  <r>
    <x v="479"/>
    <x v="0"/>
    <x v="13"/>
    <n v="48.7"/>
    <n v="292.20000000000005"/>
    <x v="20"/>
    <d v="2025-01-22T00:00:00"/>
    <x v="1"/>
    <x v="0"/>
    <x v="0"/>
    <x v="0"/>
    <x v="3"/>
    <x v="3"/>
    <x v="3"/>
    <x v="1"/>
  </r>
  <r>
    <x v="480"/>
    <x v="4"/>
    <x v="1"/>
    <n v="32.200000000000003"/>
    <n v="64.400000000000006"/>
    <x v="20"/>
    <d v="2025-01-24T00:00:00"/>
    <x v="1"/>
    <x v="2"/>
    <x v="2"/>
    <x v="0"/>
    <x v="3"/>
    <x v="2"/>
    <x v="3"/>
    <x v="1"/>
  </r>
  <r>
    <x v="481"/>
    <x v="15"/>
    <x v="8"/>
    <n v="25.8"/>
    <n v="206.4"/>
    <x v="20"/>
    <d v="2025-01-22T00:00:00"/>
    <x v="1"/>
    <x v="0"/>
    <x v="0"/>
    <x v="0"/>
    <x v="37"/>
    <x v="3"/>
    <x v="3"/>
    <x v="1"/>
  </r>
  <r>
    <x v="482"/>
    <x v="6"/>
    <x v="1"/>
    <n v="94.8"/>
    <n v="189.6"/>
    <x v="21"/>
    <d v="2025-01-25T00:00:00"/>
    <x v="2"/>
    <x v="1"/>
    <x v="1"/>
    <x v="0"/>
    <x v="25"/>
    <x v="2"/>
    <x v="3"/>
    <x v="2"/>
  </r>
  <r>
    <x v="483"/>
    <x v="15"/>
    <x v="30"/>
    <n v="56.8"/>
    <n v="1420"/>
    <x v="21"/>
    <d v="2025-01-25T00:00:00"/>
    <x v="1"/>
    <x v="0"/>
    <x v="0"/>
    <x v="0"/>
    <x v="25"/>
    <x v="2"/>
    <x v="3"/>
    <x v="1"/>
  </r>
  <r>
    <x v="484"/>
    <x v="8"/>
    <x v="27"/>
    <n v="18.3"/>
    <n v="292.8"/>
    <x v="21"/>
    <d v="2025-01-29T00:00:00"/>
    <x v="2"/>
    <x v="2"/>
    <x v="2"/>
    <x v="0"/>
    <x v="23"/>
    <x v="6"/>
    <x v="3"/>
    <x v="2"/>
  </r>
  <r>
    <x v="485"/>
    <x v="0"/>
    <x v="2"/>
    <n v="16.8"/>
    <n v="50.400000000000006"/>
    <x v="21"/>
    <d v="2025-01-27T00:00:00"/>
    <x v="2"/>
    <x v="2"/>
    <x v="2"/>
    <x v="0"/>
    <x v="8"/>
    <x v="0"/>
    <x v="3"/>
    <x v="2"/>
  </r>
  <r>
    <x v="486"/>
    <x v="5"/>
    <x v="5"/>
    <n v="35.799999999999997"/>
    <n v="393.79999999999995"/>
    <x v="21"/>
    <d v="2025-01-23T00:00:00"/>
    <x v="1"/>
    <x v="1"/>
    <x v="0"/>
    <x v="0"/>
    <x v="17"/>
    <x v="3"/>
    <x v="3"/>
    <x v="1"/>
  </r>
  <r>
    <x v="487"/>
    <x v="18"/>
    <x v="0"/>
    <n v="64.900000000000006"/>
    <n v="64.900000000000006"/>
    <x v="21"/>
    <d v="2025-01-23T00:00:00"/>
    <x v="1"/>
    <x v="0"/>
    <x v="1"/>
    <x v="0"/>
    <x v="17"/>
    <x v="3"/>
    <x v="3"/>
    <x v="1"/>
  </r>
  <r>
    <x v="488"/>
    <x v="18"/>
    <x v="0"/>
    <n v="28.5"/>
    <n v="28.5"/>
    <x v="21"/>
    <d v="2025-01-24T00:00:00"/>
    <x v="0"/>
    <x v="1"/>
    <x v="0"/>
    <x v="0"/>
    <x v="9"/>
    <x v="1"/>
    <x v="3"/>
    <x v="0"/>
  </r>
  <r>
    <x v="489"/>
    <x v="18"/>
    <x v="1"/>
    <n v="103.5"/>
    <n v="207"/>
    <x v="21"/>
    <d v="2025-01-24T00:00:00"/>
    <x v="2"/>
    <x v="1"/>
    <x v="0"/>
    <x v="0"/>
    <x v="10"/>
    <x v="1"/>
    <x v="3"/>
    <x v="2"/>
  </r>
  <r>
    <x v="490"/>
    <x v="4"/>
    <x v="1"/>
    <n v="41.2"/>
    <n v="82.4"/>
    <x v="21"/>
    <d v="2025-01-23T00:00:00"/>
    <x v="2"/>
    <x v="1"/>
    <x v="0"/>
    <x v="0"/>
    <x v="10"/>
    <x v="3"/>
    <x v="3"/>
    <x v="2"/>
  </r>
  <r>
    <x v="491"/>
    <x v="9"/>
    <x v="0"/>
    <n v="37.799999999999997"/>
    <n v="37.799999999999997"/>
    <x v="21"/>
    <d v="2025-01-24T00:00:00"/>
    <x v="2"/>
    <x v="3"/>
    <x v="3"/>
    <x v="0"/>
    <x v="11"/>
    <x v="1"/>
    <x v="3"/>
    <x v="2"/>
  </r>
  <r>
    <x v="492"/>
    <x v="8"/>
    <x v="1"/>
    <n v="42.6"/>
    <n v="85.2"/>
    <x v="21"/>
    <d v="2025-01-24T00:00:00"/>
    <x v="2"/>
    <x v="4"/>
    <x v="0"/>
    <x v="0"/>
    <x v="11"/>
    <x v="1"/>
    <x v="3"/>
    <x v="2"/>
  </r>
  <r>
    <x v="493"/>
    <x v="8"/>
    <x v="7"/>
    <n v="15.2"/>
    <n v="152"/>
    <x v="21"/>
    <d v="2025-01-24T00:00:00"/>
    <x v="2"/>
    <x v="2"/>
    <x v="0"/>
    <x v="0"/>
    <x v="11"/>
    <x v="1"/>
    <x v="3"/>
    <x v="2"/>
  </r>
  <r>
    <x v="494"/>
    <x v="7"/>
    <x v="12"/>
    <n v="83.4"/>
    <n v="333.6"/>
    <x v="21"/>
    <d v="2025-01-23T00:00:00"/>
    <x v="2"/>
    <x v="2"/>
    <x v="1"/>
    <x v="0"/>
    <x v="18"/>
    <x v="3"/>
    <x v="3"/>
    <x v="2"/>
  </r>
  <r>
    <x v="495"/>
    <x v="19"/>
    <x v="1"/>
    <n v="27.7"/>
    <n v="55.4"/>
    <x v="21"/>
    <d v="2025-01-23T00:00:00"/>
    <x v="2"/>
    <x v="0"/>
    <x v="1"/>
    <x v="0"/>
    <x v="13"/>
    <x v="3"/>
    <x v="3"/>
    <x v="2"/>
  </r>
  <r>
    <x v="496"/>
    <x v="10"/>
    <x v="4"/>
    <n v="20.8"/>
    <n v="249.60000000000002"/>
    <x v="21"/>
    <d v="2025-01-23T00:00:00"/>
    <x v="1"/>
    <x v="3"/>
    <x v="0"/>
    <x v="0"/>
    <x v="13"/>
    <x v="3"/>
    <x v="3"/>
    <x v="1"/>
  </r>
  <r>
    <x v="497"/>
    <x v="11"/>
    <x v="1"/>
    <n v="72.7"/>
    <n v="145.4"/>
    <x v="21"/>
    <d v="2025-01-26T00:00:00"/>
    <x v="2"/>
    <x v="4"/>
    <x v="2"/>
    <x v="0"/>
    <x v="44"/>
    <x v="5"/>
    <x v="3"/>
    <x v="2"/>
  </r>
  <r>
    <x v="498"/>
    <x v="10"/>
    <x v="12"/>
    <n v="38.6"/>
    <n v="154.4"/>
    <x v="21"/>
    <d v="2025-01-23T00:00:00"/>
    <x v="1"/>
    <x v="0"/>
    <x v="2"/>
    <x v="0"/>
    <x v="22"/>
    <x v="3"/>
    <x v="3"/>
    <x v="1"/>
  </r>
  <r>
    <x v="499"/>
    <x v="8"/>
    <x v="3"/>
    <n v="33.1"/>
    <n v="231.70000000000002"/>
    <x v="21"/>
    <d v="2025-01-23T00:00:00"/>
    <x v="3"/>
    <x v="4"/>
    <x v="3"/>
    <x v="0"/>
    <x v="3"/>
    <x v="3"/>
    <x v="3"/>
    <x v="3"/>
  </r>
  <r>
    <x v="500"/>
    <x v="10"/>
    <x v="1"/>
    <n v="30.5"/>
    <n v="61"/>
    <x v="21"/>
    <d v="2025-01-22T00:00:00"/>
    <x v="0"/>
    <x v="1"/>
    <x v="1"/>
    <x v="0"/>
    <x v="3"/>
    <x v="7"/>
    <x v="3"/>
    <x v="0"/>
  </r>
  <r>
    <x v="501"/>
    <x v="9"/>
    <x v="1"/>
    <n v="69.599999999999994"/>
    <n v="139.19999999999999"/>
    <x v="21"/>
    <d v="2025-01-23T00:00:00"/>
    <x v="1"/>
    <x v="0"/>
    <x v="1"/>
    <x v="0"/>
    <x v="3"/>
    <x v="3"/>
    <x v="3"/>
    <x v="1"/>
  </r>
  <r>
    <x v="502"/>
    <x v="11"/>
    <x v="0"/>
    <n v="42.4"/>
    <n v="42.4"/>
    <x v="21"/>
    <d v="2025-01-26T00:00:00"/>
    <x v="2"/>
    <x v="1"/>
    <x v="0"/>
    <x v="0"/>
    <x v="3"/>
    <x v="5"/>
    <x v="3"/>
    <x v="2"/>
  </r>
  <r>
    <x v="503"/>
    <x v="17"/>
    <x v="0"/>
    <n v="32.200000000000003"/>
    <n v="32.200000000000003"/>
    <x v="21"/>
    <d v="2025-01-25T00:00:00"/>
    <x v="2"/>
    <x v="2"/>
    <x v="1"/>
    <x v="0"/>
    <x v="3"/>
    <x v="2"/>
    <x v="3"/>
    <x v="2"/>
  </r>
  <r>
    <x v="504"/>
    <x v="6"/>
    <x v="1"/>
    <n v="41.5"/>
    <n v="83"/>
    <x v="21"/>
    <d v="2025-01-25T00:00:00"/>
    <x v="2"/>
    <x v="0"/>
    <x v="2"/>
    <x v="0"/>
    <x v="3"/>
    <x v="2"/>
    <x v="3"/>
    <x v="2"/>
  </r>
  <r>
    <x v="505"/>
    <x v="16"/>
    <x v="11"/>
    <n v="58.9"/>
    <n v="530.1"/>
    <x v="21"/>
    <d v="2025-01-26T00:00:00"/>
    <x v="2"/>
    <x v="3"/>
    <x v="0"/>
    <x v="0"/>
    <x v="3"/>
    <x v="5"/>
    <x v="3"/>
    <x v="2"/>
  </r>
  <r>
    <x v="506"/>
    <x v="2"/>
    <x v="0"/>
    <n v="57.1"/>
    <n v="57.1"/>
    <x v="21"/>
    <d v="2025-01-25T00:00:00"/>
    <x v="2"/>
    <x v="1"/>
    <x v="0"/>
    <x v="0"/>
    <x v="3"/>
    <x v="2"/>
    <x v="3"/>
    <x v="2"/>
  </r>
  <r>
    <x v="507"/>
    <x v="6"/>
    <x v="0"/>
    <n v="57.2"/>
    <n v="57.2"/>
    <x v="21"/>
    <d v="2025-01-24T00:00:00"/>
    <x v="1"/>
    <x v="1"/>
    <x v="0"/>
    <x v="0"/>
    <x v="3"/>
    <x v="1"/>
    <x v="3"/>
    <x v="1"/>
  </r>
  <r>
    <x v="508"/>
    <x v="8"/>
    <x v="1"/>
    <n v="35.1"/>
    <n v="70.2"/>
    <x v="21"/>
    <d v="2025-01-23T00:00:00"/>
    <x v="1"/>
    <x v="1"/>
    <x v="0"/>
    <x v="0"/>
    <x v="6"/>
    <x v="3"/>
    <x v="3"/>
    <x v="1"/>
  </r>
  <r>
    <x v="509"/>
    <x v="1"/>
    <x v="0"/>
    <n v="52.1"/>
    <n v="52.1"/>
    <x v="21"/>
    <d v="2025-01-24T00:00:00"/>
    <x v="2"/>
    <x v="4"/>
    <x v="1"/>
    <x v="0"/>
    <x v="8"/>
    <x v="1"/>
    <x v="3"/>
    <x v="2"/>
  </r>
  <r>
    <x v="510"/>
    <x v="13"/>
    <x v="2"/>
    <n v="59.8"/>
    <n v="179.39999999999998"/>
    <x v="21"/>
    <d v="2025-01-24T00:00:00"/>
    <x v="2"/>
    <x v="4"/>
    <x v="1"/>
    <x v="0"/>
    <x v="8"/>
    <x v="1"/>
    <x v="3"/>
    <x v="2"/>
  </r>
  <r>
    <x v="511"/>
    <x v="3"/>
    <x v="12"/>
    <n v="83.3"/>
    <n v="333.2"/>
    <x v="21"/>
    <d v="2025-01-22T00:00:00"/>
    <x v="0"/>
    <x v="2"/>
    <x v="0"/>
    <x v="0"/>
    <x v="8"/>
    <x v="7"/>
    <x v="3"/>
    <x v="0"/>
  </r>
  <r>
    <x v="512"/>
    <x v="15"/>
    <x v="4"/>
    <n v="41.3"/>
    <n v="495.59999999999997"/>
    <x v="21"/>
    <d v="2025-01-23T00:00:00"/>
    <x v="2"/>
    <x v="1"/>
    <x v="0"/>
    <x v="0"/>
    <x v="8"/>
    <x v="3"/>
    <x v="3"/>
    <x v="2"/>
  </r>
  <r>
    <x v="513"/>
    <x v="8"/>
    <x v="9"/>
    <n v="16"/>
    <n v="80"/>
    <x v="21"/>
    <d v="2025-01-24T00:00:00"/>
    <x v="1"/>
    <x v="4"/>
    <x v="1"/>
    <x v="0"/>
    <x v="9"/>
    <x v="1"/>
    <x v="3"/>
    <x v="1"/>
  </r>
  <r>
    <x v="514"/>
    <x v="10"/>
    <x v="1"/>
    <n v="20.8"/>
    <n v="41.6"/>
    <x v="22"/>
    <d v="2025-01-25T00:00:00"/>
    <x v="1"/>
    <x v="0"/>
    <x v="2"/>
    <x v="0"/>
    <x v="11"/>
    <x v="1"/>
    <x v="3"/>
    <x v="1"/>
  </r>
  <r>
    <x v="515"/>
    <x v="8"/>
    <x v="31"/>
    <n v="27.1"/>
    <n v="758.80000000000007"/>
    <x v="22"/>
    <d v="2025-01-24T00:00:00"/>
    <x v="0"/>
    <x v="3"/>
    <x v="2"/>
    <x v="0"/>
    <x v="11"/>
    <x v="3"/>
    <x v="3"/>
    <x v="0"/>
  </r>
  <r>
    <x v="516"/>
    <x v="10"/>
    <x v="1"/>
    <n v="38.9"/>
    <n v="77.8"/>
    <x v="22"/>
    <d v="2025-01-25T00:00:00"/>
    <x v="2"/>
    <x v="0"/>
    <x v="0"/>
    <x v="0"/>
    <x v="18"/>
    <x v="1"/>
    <x v="3"/>
    <x v="2"/>
  </r>
  <r>
    <x v="517"/>
    <x v="0"/>
    <x v="1"/>
    <n v="10.8"/>
    <n v="21.6"/>
    <x v="22"/>
    <d v="2025-01-26T00:00:00"/>
    <x v="2"/>
    <x v="1"/>
    <x v="2"/>
    <x v="0"/>
    <x v="45"/>
    <x v="2"/>
    <x v="3"/>
    <x v="2"/>
  </r>
  <r>
    <x v="518"/>
    <x v="4"/>
    <x v="15"/>
    <n v="48.4"/>
    <n v="629.19999999999993"/>
    <x v="22"/>
    <d v="2025-01-27T00:00:00"/>
    <x v="2"/>
    <x v="0"/>
    <x v="0"/>
    <x v="0"/>
    <x v="21"/>
    <x v="5"/>
    <x v="3"/>
    <x v="2"/>
  </r>
  <r>
    <x v="519"/>
    <x v="4"/>
    <x v="2"/>
    <n v="29.2"/>
    <n v="87.6"/>
    <x v="22"/>
    <d v="2025-01-26T00:00:00"/>
    <x v="2"/>
    <x v="1"/>
    <x v="1"/>
    <x v="0"/>
    <x v="2"/>
    <x v="2"/>
    <x v="3"/>
    <x v="2"/>
  </r>
  <r>
    <x v="520"/>
    <x v="4"/>
    <x v="1"/>
    <n v="25.1"/>
    <n v="50.2"/>
    <x v="22"/>
    <d v="2025-01-24T00:00:00"/>
    <x v="1"/>
    <x v="0"/>
    <x v="1"/>
    <x v="0"/>
    <x v="2"/>
    <x v="3"/>
    <x v="3"/>
    <x v="1"/>
  </r>
  <r>
    <x v="521"/>
    <x v="7"/>
    <x v="2"/>
    <n v="65.599999999999994"/>
    <n v="196.79999999999998"/>
    <x v="22"/>
    <d v="2025-01-23T00:00:00"/>
    <x v="2"/>
    <x v="2"/>
    <x v="1"/>
    <x v="0"/>
    <x v="3"/>
    <x v="7"/>
    <x v="3"/>
    <x v="2"/>
  </r>
  <r>
    <x v="522"/>
    <x v="2"/>
    <x v="1"/>
    <n v="57.3"/>
    <n v="114.6"/>
    <x v="22"/>
    <d v="2025-01-23T00:00:00"/>
    <x v="0"/>
    <x v="0"/>
    <x v="0"/>
    <x v="0"/>
    <x v="3"/>
    <x v="7"/>
    <x v="3"/>
    <x v="0"/>
  </r>
  <r>
    <x v="523"/>
    <x v="9"/>
    <x v="12"/>
    <n v="22.4"/>
    <n v="89.6"/>
    <x v="22"/>
    <d v="2025-01-24T00:00:00"/>
    <x v="2"/>
    <x v="2"/>
    <x v="2"/>
    <x v="0"/>
    <x v="3"/>
    <x v="3"/>
    <x v="3"/>
    <x v="2"/>
  </r>
  <r>
    <x v="524"/>
    <x v="12"/>
    <x v="11"/>
    <n v="45.7"/>
    <n v="411.3"/>
    <x v="22"/>
    <d v="2025-01-24T00:00:00"/>
    <x v="2"/>
    <x v="0"/>
    <x v="0"/>
    <x v="0"/>
    <x v="3"/>
    <x v="3"/>
    <x v="3"/>
    <x v="2"/>
  </r>
  <r>
    <x v="525"/>
    <x v="8"/>
    <x v="1"/>
    <n v="29.3"/>
    <n v="58.6"/>
    <x v="22"/>
    <d v="2025-01-24T00:00:00"/>
    <x v="1"/>
    <x v="1"/>
    <x v="0"/>
    <x v="0"/>
    <x v="3"/>
    <x v="3"/>
    <x v="3"/>
    <x v="1"/>
  </r>
  <r>
    <x v="526"/>
    <x v="18"/>
    <x v="32"/>
    <n v="74"/>
    <n v="1628"/>
    <x v="22"/>
    <d v="2025-01-24T00:00:00"/>
    <x v="1"/>
    <x v="0"/>
    <x v="2"/>
    <x v="0"/>
    <x v="3"/>
    <x v="3"/>
    <x v="3"/>
    <x v="1"/>
  </r>
  <r>
    <x v="527"/>
    <x v="14"/>
    <x v="1"/>
    <n v="39.200000000000003"/>
    <n v="78.400000000000006"/>
    <x v="22"/>
    <d v="2025-01-25T00:00:00"/>
    <x v="2"/>
    <x v="1"/>
    <x v="0"/>
    <x v="0"/>
    <x v="3"/>
    <x v="1"/>
    <x v="3"/>
    <x v="2"/>
  </r>
  <r>
    <x v="528"/>
    <x v="4"/>
    <x v="14"/>
    <n v="62.7"/>
    <n v="1065.9000000000001"/>
    <x v="22"/>
    <d v="2025-01-24T00:00:00"/>
    <x v="2"/>
    <x v="2"/>
    <x v="1"/>
    <x v="0"/>
    <x v="3"/>
    <x v="3"/>
    <x v="3"/>
    <x v="2"/>
  </r>
  <r>
    <x v="529"/>
    <x v="10"/>
    <x v="1"/>
    <n v="60.1"/>
    <n v="120.2"/>
    <x v="22"/>
    <d v="2025-01-24T00:00:00"/>
    <x v="2"/>
    <x v="3"/>
    <x v="0"/>
    <x v="0"/>
    <x v="3"/>
    <x v="3"/>
    <x v="3"/>
    <x v="2"/>
  </r>
  <r>
    <x v="530"/>
    <x v="0"/>
    <x v="12"/>
    <n v="11.2"/>
    <n v="44.8"/>
    <x v="22"/>
    <d v="2025-01-24T00:00:00"/>
    <x v="2"/>
    <x v="3"/>
    <x v="1"/>
    <x v="0"/>
    <x v="3"/>
    <x v="3"/>
    <x v="3"/>
    <x v="2"/>
  </r>
  <r>
    <x v="531"/>
    <x v="8"/>
    <x v="1"/>
    <n v="22.9"/>
    <n v="45.8"/>
    <x v="22"/>
    <d v="2025-01-24T00:00:00"/>
    <x v="2"/>
    <x v="0"/>
    <x v="0"/>
    <x v="0"/>
    <x v="6"/>
    <x v="3"/>
    <x v="3"/>
    <x v="2"/>
  </r>
  <r>
    <x v="532"/>
    <x v="1"/>
    <x v="1"/>
    <n v="37.6"/>
    <n v="75.2"/>
    <x v="22"/>
    <d v="2025-01-26T00:00:00"/>
    <x v="2"/>
    <x v="0"/>
    <x v="0"/>
    <x v="0"/>
    <x v="6"/>
    <x v="2"/>
    <x v="3"/>
    <x v="2"/>
  </r>
  <r>
    <x v="533"/>
    <x v="6"/>
    <x v="0"/>
    <n v="42.4"/>
    <n v="42.4"/>
    <x v="22"/>
    <d v="2025-01-24T00:00:00"/>
    <x v="2"/>
    <x v="3"/>
    <x v="2"/>
    <x v="0"/>
    <x v="6"/>
    <x v="3"/>
    <x v="3"/>
    <x v="2"/>
  </r>
  <r>
    <x v="534"/>
    <x v="8"/>
    <x v="1"/>
    <n v="19.600000000000001"/>
    <n v="39.200000000000003"/>
    <x v="22"/>
    <d v="2025-01-27T00:00:00"/>
    <x v="2"/>
    <x v="2"/>
    <x v="0"/>
    <x v="0"/>
    <x v="7"/>
    <x v="5"/>
    <x v="3"/>
    <x v="2"/>
  </r>
  <r>
    <x v="535"/>
    <x v="9"/>
    <x v="0"/>
    <n v="90.5"/>
    <n v="90.5"/>
    <x v="22"/>
    <d v="2025-01-26T00:00:00"/>
    <x v="2"/>
    <x v="2"/>
    <x v="0"/>
    <x v="0"/>
    <x v="7"/>
    <x v="2"/>
    <x v="3"/>
    <x v="2"/>
  </r>
  <r>
    <x v="536"/>
    <x v="16"/>
    <x v="5"/>
    <n v="33.9"/>
    <n v="372.9"/>
    <x v="22"/>
    <d v="2025-01-24T00:00:00"/>
    <x v="1"/>
    <x v="2"/>
    <x v="1"/>
    <x v="0"/>
    <x v="7"/>
    <x v="3"/>
    <x v="3"/>
    <x v="1"/>
  </r>
  <r>
    <x v="537"/>
    <x v="0"/>
    <x v="1"/>
    <n v="32.799999999999997"/>
    <n v="65.599999999999994"/>
    <x v="22"/>
    <d v="2025-01-25T00:00:00"/>
    <x v="2"/>
    <x v="4"/>
    <x v="4"/>
    <x v="0"/>
    <x v="8"/>
    <x v="1"/>
    <x v="3"/>
    <x v="2"/>
  </r>
  <r>
    <x v="538"/>
    <x v="15"/>
    <x v="0"/>
    <n v="49.9"/>
    <n v="49.9"/>
    <x v="22"/>
    <d v="2025-01-24T00:00:00"/>
    <x v="1"/>
    <x v="3"/>
    <x v="1"/>
    <x v="0"/>
    <x v="8"/>
    <x v="3"/>
    <x v="3"/>
    <x v="1"/>
  </r>
  <r>
    <x v="539"/>
    <x v="7"/>
    <x v="9"/>
    <n v="79.2"/>
    <n v="396"/>
    <x v="22"/>
    <d v="2025-01-24T00:00:00"/>
    <x v="2"/>
    <x v="4"/>
    <x v="0"/>
    <x v="0"/>
    <x v="8"/>
    <x v="3"/>
    <x v="3"/>
    <x v="2"/>
  </r>
  <r>
    <x v="540"/>
    <x v="8"/>
    <x v="27"/>
    <n v="19.5"/>
    <n v="312"/>
    <x v="22"/>
    <d v="2025-01-25T00:00:00"/>
    <x v="1"/>
    <x v="3"/>
    <x v="2"/>
    <x v="0"/>
    <x v="8"/>
    <x v="1"/>
    <x v="3"/>
    <x v="1"/>
  </r>
  <r>
    <x v="541"/>
    <x v="8"/>
    <x v="12"/>
    <n v="18"/>
    <n v="72"/>
    <x v="22"/>
    <d v="2025-01-24T00:00:00"/>
    <x v="1"/>
    <x v="1"/>
    <x v="0"/>
    <x v="0"/>
    <x v="10"/>
    <x v="3"/>
    <x v="3"/>
    <x v="1"/>
  </r>
  <r>
    <x v="542"/>
    <x v="9"/>
    <x v="2"/>
    <n v="45.9"/>
    <n v="137.69999999999999"/>
    <x v="22"/>
    <d v="2025-01-25T00:00:00"/>
    <x v="2"/>
    <x v="1"/>
    <x v="1"/>
    <x v="0"/>
    <x v="10"/>
    <x v="1"/>
    <x v="3"/>
    <x v="2"/>
  </r>
  <r>
    <x v="543"/>
    <x v="11"/>
    <x v="0"/>
    <n v="41.2"/>
    <n v="41.2"/>
    <x v="22"/>
    <d v="2025-01-25T00:00:00"/>
    <x v="2"/>
    <x v="1"/>
    <x v="2"/>
    <x v="0"/>
    <x v="11"/>
    <x v="1"/>
    <x v="3"/>
    <x v="2"/>
  </r>
  <r>
    <x v="544"/>
    <x v="2"/>
    <x v="7"/>
    <n v="167.2"/>
    <n v="1672"/>
    <x v="22"/>
    <d v="2025-01-25T00:00:00"/>
    <x v="2"/>
    <x v="2"/>
    <x v="2"/>
    <x v="0"/>
    <x v="32"/>
    <x v="1"/>
    <x v="3"/>
    <x v="2"/>
  </r>
  <r>
    <x v="545"/>
    <x v="6"/>
    <x v="17"/>
    <n v="74.5"/>
    <n v="2235"/>
    <x v="23"/>
    <d v="2025-01-27T00:00:00"/>
    <x v="2"/>
    <x v="1"/>
    <x v="2"/>
    <x v="0"/>
    <x v="38"/>
    <x v="2"/>
    <x v="3"/>
    <x v="2"/>
  </r>
  <r>
    <x v="546"/>
    <x v="7"/>
    <x v="12"/>
    <n v="39.299999999999997"/>
    <n v="157.19999999999999"/>
    <x v="23"/>
    <d v="2025-01-25T00:00:00"/>
    <x v="0"/>
    <x v="2"/>
    <x v="0"/>
    <x v="0"/>
    <x v="19"/>
    <x v="3"/>
    <x v="3"/>
    <x v="0"/>
  </r>
  <r>
    <x v="547"/>
    <x v="9"/>
    <x v="0"/>
    <n v="68.5"/>
    <n v="68.5"/>
    <x v="23"/>
    <d v="2025-01-27T00:00:00"/>
    <x v="1"/>
    <x v="1"/>
    <x v="2"/>
    <x v="0"/>
    <x v="12"/>
    <x v="2"/>
    <x v="3"/>
    <x v="1"/>
  </r>
  <r>
    <x v="548"/>
    <x v="0"/>
    <x v="2"/>
    <n v="22.5"/>
    <n v="67.5"/>
    <x v="23"/>
    <d v="2025-01-24T00:00:00"/>
    <x v="2"/>
    <x v="4"/>
    <x v="0"/>
    <x v="0"/>
    <x v="13"/>
    <x v="7"/>
    <x v="3"/>
    <x v="2"/>
  </r>
  <r>
    <x v="549"/>
    <x v="1"/>
    <x v="0"/>
    <n v="48"/>
    <n v="48"/>
    <x v="23"/>
    <d v="2025-01-25T00:00:00"/>
    <x v="3"/>
    <x v="4"/>
    <x v="1"/>
    <x v="0"/>
    <x v="46"/>
    <x v="3"/>
    <x v="3"/>
    <x v="3"/>
  </r>
  <r>
    <x v="550"/>
    <x v="6"/>
    <x v="0"/>
    <n v="94"/>
    <n v="94"/>
    <x v="23"/>
    <d v="2025-01-25T00:00:00"/>
    <x v="1"/>
    <x v="3"/>
    <x v="1"/>
    <x v="0"/>
    <x v="1"/>
    <x v="3"/>
    <x v="3"/>
    <x v="1"/>
  </r>
  <r>
    <x v="551"/>
    <x v="8"/>
    <x v="2"/>
    <n v="21.9"/>
    <n v="65.699999999999989"/>
    <x v="23"/>
    <d v="2025-01-25T00:00:00"/>
    <x v="2"/>
    <x v="0"/>
    <x v="0"/>
    <x v="0"/>
    <x v="44"/>
    <x v="3"/>
    <x v="3"/>
    <x v="2"/>
  </r>
  <r>
    <x v="552"/>
    <x v="6"/>
    <x v="3"/>
    <n v="64.900000000000006"/>
    <n v="454.30000000000007"/>
    <x v="23"/>
    <d v="2025-01-25T00:00:00"/>
    <x v="2"/>
    <x v="0"/>
    <x v="0"/>
    <x v="0"/>
    <x v="3"/>
    <x v="3"/>
    <x v="3"/>
    <x v="2"/>
  </r>
  <r>
    <x v="553"/>
    <x v="12"/>
    <x v="0"/>
    <n v="52.9"/>
    <n v="52.9"/>
    <x v="23"/>
    <d v="2025-01-24T00:00:00"/>
    <x v="2"/>
    <x v="1"/>
    <x v="1"/>
    <x v="0"/>
    <x v="3"/>
    <x v="7"/>
    <x v="3"/>
    <x v="2"/>
  </r>
  <r>
    <x v="554"/>
    <x v="8"/>
    <x v="2"/>
    <n v="25.5"/>
    <n v="76.5"/>
    <x v="23"/>
    <d v="2025-01-25T00:00:00"/>
    <x v="2"/>
    <x v="1"/>
    <x v="2"/>
    <x v="0"/>
    <x v="3"/>
    <x v="3"/>
    <x v="3"/>
    <x v="2"/>
  </r>
  <r>
    <x v="555"/>
    <x v="6"/>
    <x v="2"/>
    <n v="51.9"/>
    <n v="155.69999999999999"/>
    <x v="23"/>
    <d v="2025-01-25T00:00:00"/>
    <x v="2"/>
    <x v="3"/>
    <x v="0"/>
    <x v="0"/>
    <x v="3"/>
    <x v="3"/>
    <x v="3"/>
    <x v="2"/>
  </r>
  <r>
    <x v="556"/>
    <x v="5"/>
    <x v="0"/>
    <n v="46.3"/>
    <n v="46.3"/>
    <x v="23"/>
    <d v="2025-01-27T00:00:00"/>
    <x v="2"/>
    <x v="4"/>
    <x v="0"/>
    <x v="0"/>
    <x v="3"/>
    <x v="2"/>
    <x v="3"/>
    <x v="2"/>
  </r>
  <r>
    <x v="557"/>
    <x v="6"/>
    <x v="1"/>
    <n v="68.2"/>
    <n v="136.4"/>
    <x v="23"/>
    <d v="2025-01-26T00:00:00"/>
    <x v="2"/>
    <x v="3"/>
    <x v="0"/>
    <x v="0"/>
    <x v="3"/>
    <x v="1"/>
    <x v="3"/>
    <x v="2"/>
  </r>
  <r>
    <x v="558"/>
    <x v="1"/>
    <x v="0"/>
    <n v="40.299999999999997"/>
    <n v="40.299999999999997"/>
    <x v="23"/>
    <d v="2025-01-25T00:00:00"/>
    <x v="1"/>
    <x v="0"/>
    <x v="1"/>
    <x v="0"/>
    <x v="3"/>
    <x v="3"/>
    <x v="3"/>
    <x v="1"/>
  </r>
  <r>
    <x v="559"/>
    <x v="2"/>
    <x v="2"/>
    <n v="91.3"/>
    <n v="273.89999999999998"/>
    <x v="23"/>
    <d v="2025-01-29T00:00:00"/>
    <x v="1"/>
    <x v="0"/>
    <x v="2"/>
    <x v="0"/>
    <x v="6"/>
    <x v="0"/>
    <x v="3"/>
    <x v="1"/>
  </r>
  <r>
    <x v="560"/>
    <x v="0"/>
    <x v="2"/>
    <n v="11.9"/>
    <n v="35.700000000000003"/>
    <x v="23"/>
    <d v="2025-01-25T00:00:00"/>
    <x v="2"/>
    <x v="0"/>
    <x v="1"/>
    <x v="0"/>
    <x v="6"/>
    <x v="3"/>
    <x v="3"/>
    <x v="2"/>
  </r>
  <r>
    <x v="561"/>
    <x v="2"/>
    <x v="1"/>
    <n v="63.5"/>
    <n v="127"/>
    <x v="23"/>
    <d v="2025-01-26T00:00:00"/>
    <x v="1"/>
    <x v="1"/>
    <x v="0"/>
    <x v="0"/>
    <x v="6"/>
    <x v="1"/>
    <x v="3"/>
    <x v="1"/>
  </r>
  <r>
    <x v="562"/>
    <x v="4"/>
    <x v="1"/>
    <n v="27.1"/>
    <n v="54.2"/>
    <x v="23"/>
    <d v="2025-01-27T00:00:00"/>
    <x v="1"/>
    <x v="2"/>
    <x v="2"/>
    <x v="0"/>
    <x v="6"/>
    <x v="2"/>
    <x v="3"/>
    <x v="1"/>
  </r>
  <r>
    <x v="563"/>
    <x v="1"/>
    <x v="1"/>
    <n v="82.1"/>
    <n v="164.2"/>
    <x v="24"/>
    <d v="2025-01-28T00:00:00"/>
    <x v="1"/>
    <x v="1"/>
    <x v="1"/>
    <x v="0"/>
    <x v="7"/>
    <x v="2"/>
    <x v="3"/>
    <x v="1"/>
  </r>
  <r>
    <x v="564"/>
    <x v="3"/>
    <x v="9"/>
    <n v="42.9"/>
    <n v="214.5"/>
    <x v="24"/>
    <d v="2025-01-27T00:00:00"/>
    <x v="2"/>
    <x v="1"/>
    <x v="0"/>
    <x v="0"/>
    <x v="8"/>
    <x v="1"/>
    <x v="3"/>
    <x v="2"/>
  </r>
  <r>
    <x v="565"/>
    <x v="8"/>
    <x v="5"/>
    <n v="37.9"/>
    <n v="416.9"/>
    <x v="24"/>
    <d v="2025-02-01T00:00:00"/>
    <x v="1"/>
    <x v="0"/>
    <x v="0"/>
    <x v="0"/>
    <x v="8"/>
    <x v="6"/>
    <x v="3"/>
    <x v="1"/>
  </r>
  <r>
    <x v="566"/>
    <x v="0"/>
    <x v="0"/>
    <n v="22.4"/>
    <n v="22.4"/>
    <x v="24"/>
    <d v="2025-01-26T00:00:00"/>
    <x v="2"/>
    <x v="0"/>
    <x v="1"/>
    <x v="0"/>
    <x v="17"/>
    <x v="3"/>
    <x v="3"/>
    <x v="2"/>
  </r>
  <r>
    <x v="567"/>
    <x v="2"/>
    <x v="15"/>
    <n v="79.900000000000006"/>
    <n v="1038.7"/>
    <x v="24"/>
    <d v="2025-02-07T00:00:00"/>
    <x v="2"/>
    <x v="3"/>
    <x v="1"/>
    <x v="0"/>
    <x v="11"/>
    <x v="10"/>
    <x v="3"/>
    <x v="2"/>
  </r>
  <r>
    <x v="568"/>
    <x v="1"/>
    <x v="0"/>
    <n v="70.599999999999994"/>
    <n v="70.599999999999994"/>
    <x v="24"/>
    <d v="2025-01-28T00:00:00"/>
    <x v="2"/>
    <x v="0"/>
    <x v="1"/>
    <x v="0"/>
    <x v="11"/>
    <x v="2"/>
    <x v="3"/>
    <x v="2"/>
  </r>
  <r>
    <x v="569"/>
    <x v="6"/>
    <x v="0"/>
    <n v="49.5"/>
    <n v="49.5"/>
    <x v="24"/>
    <d v="2025-01-27T00:00:00"/>
    <x v="1"/>
    <x v="0"/>
    <x v="0"/>
    <x v="0"/>
    <x v="13"/>
    <x v="1"/>
    <x v="3"/>
    <x v="1"/>
  </r>
  <r>
    <x v="570"/>
    <x v="2"/>
    <x v="1"/>
    <n v="96.6"/>
    <n v="193.2"/>
    <x v="24"/>
    <d v="2025-01-27T00:00:00"/>
    <x v="1"/>
    <x v="0"/>
    <x v="0"/>
    <x v="0"/>
    <x v="21"/>
    <x v="1"/>
    <x v="3"/>
    <x v="1"/>
  </r>
  <r>
    <x v="571"/>
    <x v="6"/>
    <x v="1"/>
    <n v="52.8"/>
    <n v="105.6"/>
    <x v="24"/>
    <d v="2025-01-26T00:00:00"/>
    <x v="2"/>
    <x v="1"/>
    <x v="1"/>
    <x v="0"/>
    <x v="21"/>
    <x v="3"/>
    <x v="3"/>
    <x v="2"/>
  </r>
  <r>
    <x v="572"/>
    <x v="2"/>
    <x v="0"/>
    <n v="101.7"/>
    <n v="101.7"/>
    <x v="24"/>
    <d v="2025-01-26T00:00:00"/>
    <x v="1"/>
    <x v="0"/>
    <x v="0"/>
    <x v="0"/>
    <x v="1"/>
    <x v="3"/>
    <x v="3"/>
    <x v="1"/>
  </r>
  <r>
    <x v="573"/>
    <x v="4"/>
    <x v="9"/>
    <n v="26.9"/>
    <n v="134.5"/>
    <x v="24"/>
    <d v="2025-01-30T00:00:00"/>
    <x v="2"/>
    <x v="1"/>
    <x v="1"/>
    <x v="0"/>
    <x v="22"/>
    <x v="0"/>
    <x v="3"/>
    <x v="2"/>
  </r>
  <r>
    <x v="574"/>
    <x v="2"/>
    <x v="12"/>
    <n v="211"/>
    <n v="844"/>
    <x v="24"/>
    <d v="2025-01-25T00:00:00"/>
    <x v="2"/>
    <x v="1"/>
    <x v="1"/>
    <x v="0"/>
    <x v="3"/>
    <x v="7"/>
    <x v="3"/>
    <x v="2"/>
  </r>
  <r>
    <x v="575"/>
    <x v="0"/>
    <x v="12"/>
    <n v="21.1"/>
    <n v="84.4"/>
    <x v="24"/>
    <d v="2025-01-28T00:00:00"/>
    <x v="1"/>
    <x v="4"/>
    <x v="0"/>
    <x v="0"/>
    <x v="3"/>
    <x v="2"/>
    <x v="3"/>
    <x v="1"/>
  </r>
  <r>
    <x v="576"/>
    <x v="10"/>
    <x v="0"/>
    <n v="26.6"/>
    <n v="26.6"/>
    <x v="24"/>
    <d v="2025-01-27T00:00:00"/>
    <x v="1"/>
    <x v="0"/>
    <x v="4"/>
    <x v="0"/>
    <x v="3"/>
    <x v="1"/>
    <x v="3"/>
    <x v="1"/>
  </r>
  <r>
    <x v="577"/>
    <x v="12"/>
    <x v="12"/>
    <n v="51.2"/>
    <n v="204.8"/>
    <x v="24"/>
    <d v="2025-01-26T00:00:00"/>
    <x v="2"/>
    <x v="3"/>
    <x v="0"/>
    <x v="0"/>
    <x v="47"/>
    <x v="3"/>
    <x v="3"/>
    <x v="2"/>
  </r>
  <r>
    <x v="578"/>
    <x v="0"/>
    <x v="9"/>
    <n v="10.6"/>
    <n v="53"/>
    <x v="24"/>
    <d v="2025-01-29T00:00:00"/>
    <x v="2"/>
    <x v="0"/>
    <x v="0"/>
    <x v="0"/>
    <x v="8"/>
    <x v="5"/>
    <x v="3"/>
    <x v="2"/>
  </r>
  <r>
    <x v="579"/>
    <x v="6"/>
    <x v="2"/>
    <n v="43.4"/>
    <n v="130.19999999999999"/>
    <x v="24"/>
    <d v="2025-01-28T00:00:00"/>
    <x v="2"/>
    <x v="4"/>
    <x v="0"/>
    <x v="0"/>
    <x v="8"/>
    <x v="2"/>
    <x v="3"/>
    <x v="2"/>
  </r>
  <r>
    <x v="580"/>
    <x v="12"/>
    <x v="0"/>
    <n v="80"/>
    <n v="80"/>
    <x v="24"/>
    <d v="2025-01-25T00:00:00"/>
    <x v="2"/>
    <x v="0"/>
    <x v="2"/>
    <x v="0"/>
    <x v="8"/>
    <x v="7"/>
    <x v="3"/>
    <x v="2"/>
  </r>
  <r>
    <x v="581"/>
    <x v="10"/>
    <x v="12"/>
    <n v="64.7"/>
    <n v="258.8"/>
    <x v="24"/>
    <d v="2025-01-27T00:00:00"/>
    <x v="2"/>
    <x v="1"/>
    <x v="4"/>
    <x v="0"/>
    <x v="8"/>
    <x v="1"/>
    <x v="3"/>
    <x v="2"/>
  </r>
  <r>
    <x v="582"/>
    <x v="8"/>
    <x v="5"/>
    <n v="26.3"/>
    <n v="289.3"/>
    <x v="25"/>
    <d v="2025-01-26T00:00:00"/>
    <x v="2"/>
    <x v="4"/>
    <x v="1"/>
    <x v="0"/>
    <x v="26"/>
    <x v="7"/>
    <x v="4"/>
    <x v="2"/>
  </r>
  <r>
    <x v="583"/>
    <x v="10"/>
    <x v="0"/>
    <n v="28.5"/>
    <n v="28.5"/>
    <x v="25"/>
    <d v="2025-01-26T00:00:00"/>
    <x v="1"/>
    <x v="0"/>
    <x v="1"/>
    <x v="0"/>
    <x v="9"/>
    <x v="7"/>
    <x v="4"/>
    <x v="1"/>
  </r>
  <r>
    <x v="584"/>
    <x v="17"/>
    <x v="0"/>
    <n v="47.8"/>
    <n v="47.8"/>
    <x v="25"/>
    <d v="2025-01-28T00:00:00"/>
    <x v="2"/>
    <x v="0"/>
    <x v="1"/>
    <x v="0"/>
    <x v="9"/>
    <x v="1"/>
    <x v="4"/>
    <x v="2"/>
  </r>
  <r>
    <x v="585"/>
    <x v="10"/>
    <x v="2"/>
    <n v="42.8"/>
    <n v="128.39999999999998"/>
    <x v="25"/>
    <d v="2025-01-29T00:00:00"/>
    <x v="2"/>
    <x v="4"/>
    <x v="1"/>
    <x v="0"/>
    <x v="11"/>
    <x v="2"/>
    <x v="4"/>
    <x v="2"/>
  </r>
  <r>
    <x v="586"/>
    <x v="6"/>
    <x v="9"/>
    <n v="46.8"/>
    <n v="234"/>
    <x v="25"/>
    <d v="2025-01-31T00:00:00"/>
    <x v="2"/>
    <x v="1"/>
    <x v="2"/>
    <x v="0"/>
    <x v="11"/>
    <x v="0"/>
    <x v="4"/>
    <x v="2"/>
  </r>
  <r>
    <x v="587"/>
    <x v="1"/>
    <x v="7"/>
    <n v="64.099999999999994"/>
    <n v="641"/>
    <x v="25"/>
    <d v="2025-01-27T00:00:00"/>
    <x v="1"/>
    <x v="1"/>
    <x v="0"/>
    <x v="0"/>
    <x v="11"/>
    <x v="3"/>
    <x v="4"/>
    <x v="1"/>
  </r>
  <r>
    <x v="588"/>
    <x v="2"/>
    <x v="0"/>
    <n v="89.1"/>
    <n v="89.1"/>
    <x v="25"/>
    <d v="2025-01-27T00:00:00"/>
    <x v="2"/>
    <x v="0"/>
    <x v="1"/>
    <x v="0"/>
    <x v="20"/>
    <x v="3"/>
    <x v="4"/>
    <x v="2"/>
  </r>
  <r>
    <x v="589"/>
    <x v="2"/>
    <x v="2"/>
    <n v="83.1"/>
    <n v="249.29999999999998"/>
    <x v="25"/>
    <d v="2025-01-27T00:00:00"/>
    <x v="2"/>
    <x v="2"/>
    <x v="1"/>
    <x v="0"/>
    <x v="13"/>
    <x v="3"/>
    <x v="4"/>
    <x v="2"/>
  </r>
  <r>
    <x v="590"/>
    <x v="8"/>
    <x v="2"/>
    <n v="40.9"/>
    <n v="122.69999999999999"/>
    <x v="25"/>
    <d v="2025-01-27T00:00:00"/>
    <x v="1"/>
    <x v="0"/>
    <x v="0"/>
    <x v="0"/>
    <x v="1"/>
    <x v="3"/>
    <x v="4"/>
    <x v="1"/>
  </r>
  <r>
    <x v="591"/>
    <x v="2"/>
    <x v="1"/>
    <n v="125.7"/>
    <n v="251.4"/>
    <x v="25"/>
    <d v="2025-01-27T00:00:00"/>
    <x v="2"/>
    <x v="3"/>
    <x v="0"/>
    <x v="0"/>
    <x v="2"/>
    <x v="3"/>
    <x v="4"/>
    <x v="2"/>
  </r>
  <r>
    <x v="592"/>
    <x v="3"/>
    <x v="1"/>
    <n v="30.9"/>
    <n v="61.8"/>
    <x v="25"/>
    <d v="2025-01-26T00:00:00"/>
    <x v="2"/>
    <x v="2"/>
    <x v="2"/>
    <x v="0"/>
    <x v="22"/>
    <x v="7"/>
    <x v="4"/>
    <x v="2"/>
  </r>
  <r>
    <x v="593"/>
    <x v="8"/>
    <x v="1"/>
    <n v="18.3"/>
    <n v="36.6"/>
    <x v="25"/>
    <d v="2025-01-27T00:00:00"/>
    <x v="2"/>
    <x v="1"/>
    <x v="0"/>
    <x v="0"/>
    <x v="3"/>
    <x v="3"/>
    <x v="4"/>
    <x v="2"/>
  </r>
  <r>
    <x v="594"/>
    <x v="4"/>
    <x v="1"/>
    <n v="56.5"/>
    <n v="113"/>
    <x v="25"/>
    <d v="2025-01-30T00:00:00"/>
    <x v="1"/>
    <x v="2"/>
    <x v="2"/>
    <x v="0"/>
    <x v="3"/>
    <x v="5"/>
    <x v="4"/>
    <x v="1"/>
  </r>
  <r>
    <x v="595"/>
    <x v="10"/>
    <x v="3"/>
    <n v="29.9"/>
    <n v="209.29999999999998"/>
    <x v="25"/>
    <d v="2025-01-28T00:00:00"/>
    <x v="1"/>
    <x v="4"/>
    <x v="2"/>
    <x v="0"/>
    <x v="3"/>
    <x v="1"/>
    <x v="4"/>
    <x v="1"/>
  </r>
  <r>
    <x v="596"/>
    <x v="5"/>
    <x v="1"/>
    <n v="50.4"/>
    <n v="100.8"/>
    <x v="25"/>
    <d v="2025-01-27T00:00:00"/>
    <x v="2"/>
    <x v="2"/>
    <x v="0"/>
    <x v="0"/>
    <x v="3"/>
    <x v="3"/>
    <x v="4"/>
    <x v="2"/>
  </r>
  <r>
    <x v="597"/>
    <x v="2"/>
    <x v="0"/>
    <n v="85.8"/>
    <n v="85.8"/>
    <x v="25"/>
    <d v="2025-01-26T00:00:00"/>
    <x v="2"/>
    <x v="2"/>
    <x v="2"/>
    <x v="0"/>
    <x v="3"/>
    <x v="7"/>
    <x v="4"/>
    <x v="2"/>
  </r>
  <r>
    <x v="598"/>
    <x v="4"/>
    <x v="27"/>
    <n v="66.599999999999994"/>
    <n v="1065.5999999999999"/>
    <x v="25"/>
    <d v="2025-01-28T00:00:00"/>
    <x v="1"/>
    <x v="1"/>
    <x v="0"/>
    <x v="0"/>
    <x v="3"/>
    <x v="1"/>
    <x v="4"/>
    <x v="1"/>
  </r>
  <r>
    <x v="599"/>
    <x v="6"/>
    <x v="12"/>
    <n v="70.3"/>
    <n v="281.2"/>
    <x v="25"/>
    <d v="2025-01-27T00:00:00"/>
    <x v="2"/>
    <x v="0"/>
    <x v="1"/>
    <x v="0"/>
    <x v="3"/>
    <x v="3"/>
    <x v="4"/>
    <x v="2"/>
  </r>
  <r>
    <x v="600"/>
    <x v="8"/>
    <x v="12"/>
    <n v="31"/>
    <n v="124"/>
    <x v="25"/>
    <d v="2025-01-29T00:00:00"/>
    <x v="1"/>
    <x v="0"/>
    <x v="2"/>
    <x v="0"/>
    <x v="3"/>
    <x v="2"/>
    <x v="4"/>
    <x v="1"/>
  </r>
  <r>
    <x v="601"/>
    <x v="7"/>
    <x v="13"/>
    <n v="81.599999999999994"/>
    <n v="489.59999999999997"/>
    <x v="25"/>
    <d v="2025-01-27T00:00:00"/>
    <x v="2"/>
    <x v="1"/>
    <x v="1"/>
    <x v="0"/>
    <x v="37"/>
    <x v="3"/>
    <x v="4"/>
    <x v="2"/>
  </r>
  <r>
    <x v="602"/>
    <x v="1"/>
    <x v="30"/>
    <n v="58.3"/>
    <n v="1457.5"/>
    <x v="25"/>
    <d v="2025-01-27T00:00:00"/>
    <x v="2"/>
    <x v="0"/>
    <x v="0"/>
    <x v="0"/>
    <x v="16"/>
    <x v="3"/>
    <x v="4"/>
    <x v="2"/>
  </r>
  <r>
    <x v="603"/>
    <x v="1"/>
    <x v="12"/>
    <n v="35.1"/>
    <n v="140.4"/>
    <x v="25"/>
    <d v="2025-01-28T00:00:00"/>
    <x v="1"/>
    <x v="0"/>
    <x v="2"/>
    <x v="0"/>
    <x v="8"/>
    <x v="1"/>
    <x v="4"/>
    <x v="1"/>
  </r>
  <r>
    <x v="604"/>
    <x v="2"/>
    <x v="0"/>
    <n v="80.2"/>
    <n v="80.2"/>
    <x v="25"/>
    <d v="2025-01-27T00:00:00"/>
    <x v="1"/>
    <x v="3"/>
    <x v="2"/>
    <x v="0"/>
    <x v="8"/>
    <x v="3"/>
    <x v="4"/>
    <x v="1"/>
  </r>
  <r>
    <x v="605"/>
    <x v="14"/>
    <x v="2"/>
    <n v="39.200000000000003"/>
    <n v="117.60000000000001"/>
    <x v="25"/>
    <d v="2025-01-28T00:00:00"/>
    <x v="2"/>
    <x v="1"/>
    <x v="0"/>
    <x v="0"/>
    <x v="9"/>
    <x v="1"/>
    <x v="4"/>
    <x v="2"/>
  </r>
  <r>
    <x v="606"/>
    <x v="0"/>
    <x v="1"/>
    <n v="15.4"/>
    <n v="30.8"/>
    <x v="25"/>
    <d v="2025-01-26T00:00:00"/>
    <x v="2"/>
    <x v="3"/>
    <x v="0"/>
    <x v="0"/>
    <x v="48"/>
    <x v="7"/>
    <x v="4"/>
    <x v="2"/>
  </r>
  <r>
    <x v="607"/>
    <x v="3"/>
    <x v="2"/>
    <n v="65.400000000000006"/>
    <n v="196.20000000000002"/>
    <x v="25"/>
    <d v="2025-01-29T00:00:00"/>
    <x v="1"/>
    <x v="3"/>
    <x v="0"/>
    <x v="0"/>
    <x v="18"/>
    <x v="2"/>
    <x v="4"/>
    <x v="1"/>
  </r>
  <r>
    <x v="608"/>
    <x v="1"/>
    <x v="8"/>
    <n v="63.2"/>
    <n v="505.6"/>
    <x v="25"/>
    <d v="2025-01-28T00:00:00"/>
    <x v="2"/>
    <x v="1"/>
    <x v="0"/>
    <x v="0"/>
    <x v="19"/>
    <x v="1"/>
    <x v="4"/>
    <x v="2"/>
  </r>
  <r>
    <x v="609"/>
    <x v="1"/>
    <x v="13"/>
    <n v="35.700000000000003"/>
    <n v="214.20000000000002"/>
    <x v="25"/>
    <d v="2025-01-30T00:00:00"/>
    <x v="2"/>
    <x v="4"/>
    <x v="1"/>
    <x v="0"/>
    <x v="19"/>
    <x v="5"/>
    <x v="4"/>
    <x v="2"/>
  </r>
  <r>
    <x v="610"/>
    <x v="0"/>
    <x v="28"/>
    <n v="26.2"/>
    <n v="524"/>
    <x v="25"/>
    <d v="2025-01-27T00:00:00"/>
    <x v="2"/>
    <x v="3"/>
    <x v="0"/>
    <x v="0"/>
    <x v="21"/>
    <x v="3"/>
    <x v="4"/>
    <x v="2"/>
  </r>
  <r>
    <x v="611"/>
    <x v="7"/>
    <x v="1"/>
    <n v="31"/>
    <n v="62"/>
    <x v="25"/>
    <d v="2025-01-27T00:00:00"/>
    <x v="2"/>
    <x v="0"/>
    <x v="2"/>
    <x v="0"/>
    <x v="1"/>
    <x v="3"/>
    <x v="4"/>
    <x v="2"/>
  </r>
  <r>
    <x v="612"/>
    <x v="8"/>
    <x v="12"/>
    <n v="37.700000000000003"/>
    <n v="150.80000000000001"/>
    <x v="25"/>
    <d v="2025-01-27T00:00:00"/>
    <x v="2"/>
    <x v="1"/>
    <x v="0"/>
    <x v="0"/>
    <x v="22"/>
    <x v="3"/>
    <x v="4"/>
    <x v="2"/>
  </r>
  <r>
    <x v="613"/>
    <x v="10"/>
    <x v="33"/>
    <n v="43.6"/>
    <n v="1482.4"/>
    <x v="25"/>
    <d v="2025-01-28T00:00:00"/>
    <x v="2"/>
    <x v="4"/>
    <x v="1"/>
    <x v="0"/>
    <x v="3"/>
    <x v="1"/>
    <x v="4"/>
    <x v="2"/>
  </r>
  <r>
    <x v="614"/>
    <x v="9"/>
    <x v="12"/>
    <n v="26.5"/>
    <n v="106"/>
    <x v="25"/>
    <d v="2025-01-28T00:00:00"/>
    <x v="1"/>
    <x v="0"/>
    <x v="4"/>
    <x v="0"/>
    <x v="3"/>
    <x v="1"/>
    <x v="4"/>
    <x v="1"/>
  </r>
  <r>
    <x v="615"/>
    <x v="0"/>
    <x v="1"/>
    <n v="34.6"/>
    <n v="69.2"/>
    <x v="25"/>
    <d v="2025-01-27T00:00:00"/>
    <x v="1"/>
    <x v="4"/>
    <x v="1"/>
    <x v="0"/>
    <x v="3"/>
    <x v="3"/>
    <x v="4"/>
    <x v="1"/>
  </r>
  <r>
    <x v="616"/>
    <x v="8"/>
    <x v="1"/>
    <n v="58.2"/>
    <n v="116.4"/>
    <x v="25"/>
    <d v="2025-01-27T00:00:00"/>
    <x v="1"/>
    <x v="2"/>
    <x v="2"/>
    <x v="0"/>
    <x v="3"/>
    <x v="3"/>
    <x v="4"/>
    <x v="1"/>
  </r>
  <r>
    <x v="617"/>
    <x v="7"/>
    <x v="0"/>
    <n v="30.2"/>
    <n v="30.2"/>
    <x v="26"/>
    <d v="2025-01-28T00:00:00"/>
    <x v="2"/>
    <x v="2"/>
    <x v="1"/>
    <x v="0"/>
    <x v="3"/>
    <x v="3"/>
    <x v="4"/>
    <x v="2"/>
  </r>
  <r>
    <x v="618"/>
    <x v="1"/>
    <x v="7"/>
    <n v="53.2"/>
    <n v="532"/>
    <x v="26"/>
    <d v="2025-01-28T00:00:00"/>
    <x v="1"/>
    <x v="0"/>
    <x v="2"/>
    <x v="0"/>
    <x v="5"/>
    <x v="3"/>
    <x v="4"/>
    <x v="1"/>
  </r>
  <r>
    <x v="619"/>
    <x v="12"/>
    <x v="13"/>
    <n v="51.1"/>
    <n v="306.60000000000002"/>
    <x v="26"/>
    <d v="2025-01-27T00:00:00"/>
    <x v="1"/>
    <x v="1"/>
    <x v="2"/>
    <x v="0"/>
    <x v="5"/>
    <x v="7"/>
    <x v="4"/>
    <x v="1"/>
  </r>
  <r>
    <x v="620"/>
    <x v="1"/>
    <x v="0"/>
    <n v="105.4"/>
    <n v="105.4"/>
    <x v="26"/>
    <d v="2025-01-31T00:00:00"/>
    <x v="2"/>
    <x v="1"/>
    <x v="2"/>
    <x v="0"/>
    <x v="23"/>
    <x v="5"/>
    <x v="4"/>
    <x v="2"/>
  </r>
  <r>
    <x v="621"/>
    <x v="7"/>
    <x v="0"/>
    <n v="57.7"/>
    <n v="57.7"/>
    <x v="26"/>
    <d v="2025-01-27T00:00:00"/>
    <x v="1"/>
    <x v="0"/>
    <x v="4"/>
    <x v="0"/>
    <x v="8"/>
    <x v="7"/>
    <x v="4"/>
    <x v="1"/>
  </r>
  <r>
    <x v="622"/>
    <x v="15"/>
    <x v="1"/>
    <n v="72.400000000000006"/>
    <n v="144.80000000000001"/>
    <x v="26"/>
    <d v="2025-02-01T00:00:00"/>
    <x v="2"/>
    <x v="0"/>
    <x v="0"/>
    <x v="0"/>
    <x v="17"/>
    <x v="0"/>
    <x v="4"/>
    <x v="2"/>
  </r>
  <r>
    <x v="623"/>
    <x v="6"/>
    <x v="1"/>
    <n v="62.5"/>
    <n v="125"/>
    <x v="26"/>
    <d v="2025-01-28T00:00:00"/>
    <x v="0"/>
    <x v="0"/>
    <x v="2"/>
    <x v="0"/>
    <x v="11"/>
    <x v="3"/>
    <x v="4"/>
    <x v="0"/>
  </r>
  <r>
    <x v="624"/>
    <x v="0"/>
    <x v="32"/>
    <n v="11.6"/>
    <n v="255.2"/>
    <x v="26"/>
    <d v="2025-01-29T00:00:00"/>
    <x v="2"/>
    <x v="3"/>
    <x v="2"/>
    <x v="0"/>
    <x v="18"/>
    <x v="1"/>
    <x v="4"/>
    <x v="2"/>
  </r>
  <r>
    <x v="625"/>
    <x v="10"/>
    <x v="7"/>
    <n v="39.6"/>
    <n v="396"/>
    <x v="26"/>
    <d v="2025-01-29T00:00:00"/>
    <x v="2"/>
    <x v="2"/>
    <x v="2"/>
    <x v="0"/>
    <x v="18"/>
    <x v="1"/>
    <x v="4"/>
    <x v="2"/>
  </r>
  <r>
    <x v="626"/>
    <x v="8"/>
    <x v="1"/>
    <n v="40.1"/>
    <n v="80.2"/>
    <x v="26"/>
    <d v="2025-01-28T00:00:00"/>
    <x v="2"/>
    <x v="2"/>
    <x v="0"/>
    <x v="0"/>
    <x v="18"/>
    <x v="3"/>
    <x v="4"/>
    <x v="2"/>
  </r>
  <r>
    <x v="627"/>
    <x v="8"/>
    <x v="2"/>
    <n v="18.600000000000001"/>
    <n v="55.800000000000004"/>
    <x v="26"/>
    <d v="2025-01-28T00:00:00"/>
    <x v="2"/>
    <x v="2"/>
    <x v="0"/>
    <x v="0"/>
    <x v="21"/>
    <x v="3"/>
    <x v="4"/>
    <x v="2"/>
  </r>
  <r>
    <x v="628"/>
    <x v="4"/>
    <x v="0"/>
    <n v="58.8"/>
    <n v="58.8"/>
    <x v="26"/>
    <d v="2025-01-29T00:00:00"/>
    <x v="2"/>
    <x v="0"/>
    <x v="1"/>
    <x v="0"/>
    <x v="21"/>
    <x v="1"/>
    <x v="4"/>
    <x v="2"/>
  </r>
  <r>
    <x v="629"/>
    <x v="8"/>
    <x v="1"/>
    <n v="22.1"/>
    <n v="44.2"/>
    <x v="26"/>
    <d v="2025-01-30T00:00:00"/>
    <x v="1"/>
    <x v="1"/>
    <x v="2"/>
    <x v="0"/>
    <x v="21"/>
    <x v="2"/>
    <x v="4"/>
    <x v="1"/>
  </r>
  <r>
    <x v="630"/>
    <x v="2"/>
    <x v="0"/>
    <n v="114.9"/>
    <n v="114.9"/>
    <x v="27"/>
    <d v="2025-01-29T00:00:00"/>
    <x v="2"/>
    <x v="1"/>
    <x v="1"/>
    <x v="0"/>
    <x v="22"/>
    <x v="3"/>
    <x v="4"/>
    <x v="2"/>
  </r>
  <r>
    <x v="631"/>
    <x v="9"/>
    <x v="9"/>
    <n v="75.8"/>
    <n v="379"/>
    <x v="27"/>
    <d v="2025-01-29T00:00:00"/>
    <x v="1"/>
    <x v="0"/>
    <x v="2"/>
    <x v="0"/>
    <x v="3"/>
    <x v="3"/>
    <x v="4"/>
    <x v="1"/>
  </r>
  <r>
    <x v="632"/>
    <x v="14"/>
    <x v="9"/>
    <n v="20.6"/>
    <n v="103"/>
    <x v="27"/>
    <d v="2025-01-29T00:00:00"/>
    <x v="1"/>
    <x v="2"/>
    <x v="2"/>
    <x v="0"/>
    <x v="3"/>
    <x v="3"/>
    <x v="4"/>
    <x v="1"/>
  </r>
  <r>
    <x v="633"/>
    <x v="17"/>
    <x v="2"/>
    <n v="67.900000000000006"/>
    <n v="203.70000000000002"/>
    <x v="27"/>
    <d v="2025-01-29T00:00:00"/>
    <x v="2"/>
    <x v="1"/>
    <x v="1"/>
    <x v="0"/>
    <x v="3"/>
    <x v="3"/>
    <x v="4"/>
    <x v="2"/>
  </r>
  <r>
    <x v="634"/>
    <x v="0"/>
    <x v="9"/>
    <n v="27"/>
    <n v="135"/>
    <x v="27"/>
    <d v="2025-02-04T00:00:00"/>
    <x v="2"/>
    <x v="0"/>
    <x v="2"/>
    <x v="0"/>
    <x v="3"/>
    <x v="6"/>
    <x v="4"/>
    <x v="2"/>
  </r>
  <r>
    <x v="635"/>
    <x v="13"/>
    <x v="0"/>
    <n v="50.6"/>
    <n v="50.6"/>
    <x v="27"/>
    <d v="2025-01-28T00:00:00"/>
    <x v="1"/>
    <x v="0"/>
    <x v="1"/>
    <x v="0"/>
    <x v="3"/>
    <x v="7"/>
    <x v="4"/>
    <x v="1"/>
  </r>
  <r>
    <x v="636"/>
    <x v="4"/>
    <x v="9"/>
    <n v="22.1"/>
    <n v="110.5"/>
    <x v="27"/>
    <d v="2025-02-02T00:00:00"/>
    <x v="1"/>
    <x v="0"/>
    <x v="0"/>
    <x v="0"/>
    <x v="3"/>
    <x v="0"/>
    <x v="4"/>
    <x v="1"/>
  </r>
  <r>
    <x v="637"/>
    <x v="8"/>
    <x v="2"/>
    <n v="42.9"/>
    <n v="128.69999999999999"/>
    <x v="27"/>
    <d v="2025-01-30T00:00:00"/>
    <x v="2"/>
    <x v="0"/>
    <x v="0"/>
    <x v="0"/>
    <x v="3"/>
    <x v="1"/>
    <x v="4"/>
    <x v="2"/>
  </r>
  <r>
    <x v="638"/>
    <x v="1"/>
    <x v="5"/>
    <n v="62.4"/>
    <n v="686.4"/>
    <x v="27"/>
    <d v="2025-01-30T00:00:00"/>
    <x v="2"/>
    <x v="2"/>
    <x v="0"/>
    <x v="0"/>
    <x v="3"/>
    <x v="1"/>
    <x v="4"/>
    <x v="2"/>
  </r>
  <r>
    <x v="639"/>
    <x v="13"/>
    <x v="11"/>
    <n v="36.4"/>
    <n v="327.59999999999997"/>
    <x v="27"/>
    <d v="2025-01-30T00:00:00"/>
    <x v="2"/>
    <x v="0"/>
    <x v="2"/>
    <x v="0"/>
    <x v="3"/>
    <x v="1"/>
    <x v="4"/>
    <x v="2"/>
  </r>
  <r>
    <x v="640"/>
    <x v="0"/>
    <x v="1"/>
    <n v="22.5"/>
    <n v="45"/>
    <x v="27"/>
    <d v="2025-01-31T00:00:00"/>
    <x v="1"/>
    <x v="0"/>
    <x v="0"/>
    <x v="0"/>
    <x v="3"/>
    <x v="2"/>
    <x v="4"/>
    <x v="1"/>
  </r>
  <r>
    <x v="641"/>
    <x v="6"/>
    <x v="12"/>
    <n v="70.8"/>
    <n v="283.2"/>
    <x v="27"/>
    <d v="2025-01-30T00:00:00"/>
    <x v="2"/>
    <x v="4"/>
    <x v="0"/>
    <x v="0"/>
    <x v="3"/>
    <x v="1"/>
    <x v="4"/>
    <x v="2"/>
  </r>
  <r>
    <x v="642"/>
    <x v="6"/>
    <x v="9"/>
    <n v="56.6"/>
    <n v="283"/>
    <x v="27"/>
    <d v="2025-01-30T00:00:00"/>
    <x v="1"/>
    <x v="0"/>
    <x v="1"/>
    <x v="0"/>
    <x v="4"/>
    <x v="1"/>
    <x v="4"/>
    <x v="1"/>
  </r>
  <r>
    <x v="643"/>
    <x v="6"/>
    <x v="1"/>
    <n v="47.9"/>
    <n v="95.8"/>
    <x v="27"/>
    <d v="2025-01-29T00:00:00"/>
    <x v="2"/>
    <x v="0"/>
    <x v="0"/>
    <x v="0"/>
    <x v="6"/>
    <x v="3"/>
    <x v="4"/>
    <x v="2"/>
  </r>
  <r>
    <x v="644"/>
    <x v="6"/>
    <x v="8"/>
    <n v="78.400000000000006"/>
    <n v="627.20000000000005"/>
    <x v="27"/>
    <d v="2025-01-30T00:00:00"/>
    <x v="2"/>
    <x v="1"/>
    <x v="0"/>
    <x v="0"/>
    <x v="6"/>
    <x v="1"/>
    <x v="4"/>
    <x v="2"/>
  </r>
  <r>
    <x v="645"/>
    <x v="2"/>
    <x v="21"/>
    <n v="122.1"/>
    <n v="1709.3999999999999"/>
    <x v="27"/>
    <d v="2025-02-02T00:00:00"/>
    <x v="2"/>
    <x v="0"/>
    <x v="2"/>
    <x v="0"/>
    <x v="6"/>
    <x v="0"/>
    <x v="4"/>
    <x v="2"/>
  </r>
  <r>
    <x v="646"/>
    <x v="2"/>
    <x v="1"/>
    <n v="83.7"/>
    <n v="167.4"/>
    <x v="28"/>
    <d v="2025-01-29T00:00:00"/>
    <x v="0"/>
    <x v="1"/>
    <x v="2"/>
    <x v="0"/>
    <x v="7"/>
    <x v="7"/>
    <x v="4"/>
    <x v="0"/>
  </r>
  <r>
    <x v="647"/>
    <x v="3"/>
    <x v="12"/>
    <n v="97.9"/>
    <n v="391.6"/>
    <x v="28"/>
    <d v="2025-02-02T00:00:00"/>
    <x v="2"/>
    <x v="3"/>
    <x v="2"/>
    <x v="0"/>
    <x v="7"/>
    <x v="5"/>
    <x v="4"/>
    <x v="2"/>
  </r>
  <r>
    <x v="648"/>
    <x v="14"/>
    <x v="0"/>
    <n v="15"/>
    <n v="15"/>
    <x v="28"/>
    <d v="2025-02-03T00:00:00"/>
    <x v="2"/>
    <x v="3"/>
    <x v="0"/>
    <x v="0"/>
    <x v="8"/>
    <x v="0"/>
    <x v="4"/>
    <x v="2"/>
  </r>
  <r>
    <x v="649"/>
    <x v="12"/>
    <x v="2"/>
    <n v="94.6"/>
    <n v="283.79999999999995"/>
    <x v="28"/>
    <d v="2025-01-30T00:00:00"/>
    <x v="1"/>
    <x v="2"/>
    <x v="1"/>
    <x v="0"/>
    <x v="8"/>
    <x v="3"/>
    <x v="4"/>
    <x v="1"/>
  </r>
  <r>
    <x v="650"/>
    <x v="0"/>
    <x v="13"/>
    <n v="19.7"/>
    <n v="118.19999999999999"/>
    <x v="28"/>
    <d v="2025-02-09T00:00:00"/>
    <x v="2"/>
    <x v="0"/>
    <x v="2"/>
    <x v="0"/>
    <x v="8"/>
    <x v="11"/>
    <x v="4"/>
    <x v="2"/>
  </r>
  <r>
    <x v="651"/>
    <x v="7"/>
    <x v="0"/>
    <n v="46.7"/>
    <n v="46.7"/>
    <x v="28"/>
    <d v="2025-02-01T00:00:00"/>
    <x v="2"/>
    <x v="2"/>
    <x v="0"/>
    <x v="0"/>
    <x v="17"/>
    <x v="2"/>
    <x v="4"/>
    <x v="2"/>
  </r>
  <r>
    <x v="652"/>
    <x v="1"/>
    <x v="12"/>
    <n v="43"/>
    <n v="172"/>
    <x v="28"/>
    <d v="2025-01-30T00:00:00"/>
    <x v="1"/>
    <x v="2"/>
    <x v="2"/>
    <x v="0"/>
    <x v="17"/>
    <x v="3"/>
    <x v="4"/>
    <x v="1"/>
  </r>
  <r>
    <x v="653"/>
    <x v="6"/>
    <x v="2"/>
    <n v="68.2"/>
    <n v="204.60000000000002"/>
    <x v="28"/>
    <d v="2025-02-04T00:00:00"/>
    <x v="2"/>
    <x v="0"/>
    <x v="0"/>
    <x v="0"/>
    <x v="9"/>
    <x v="4"/>
    <x v="4"/>
    <x v="2"/>
  </r>
  <r>
    <x v="654"/>
    <x v="10"/>
    <x v="7"/>
    <n v="24.3"/>
    <n v="243"/>
    <x v="28"/>
    <d v="2025-01-30T00:00:00"/>
    <x v="1"/>
    <x v="0"/>
    <x v="2"/>
    <x v="0"/>
    <x v="10"/>
    <x v="3"/>
    <x v="4"/>
    <x v="1"/>
  </r>
  <r>
    <x v="655"/>
    <x v="7"/>
    <x v="1"/>
    <n v="86.8"/>
    <n v="173.6"/>
    <x v="28"/>
    <d v="2025-02-02T00:00:00"/>
    <x v="2"/>
    <x v="4"/>
    <x v="2"/>
    <x v="0"/>
    <x v="11"/>
    <x v="5"/>
    <x v="4"/>
    <x v="2"/>
  </r>
  <r>
    <x v="656"/>
    <x v="0"/>
    <x v="1"/>
    <n v="15.8"/>
    <n v="31.6"/>
    <x v="28"/>
    <d v="2025-01-31T00:00:00"/>
    <x v="1"/>
    <x v="1"/>
    <x v="0"/>
    <x v="0"/>
    <x v="11"/>
    <x v="1"/>
    <x v="4"/>
    <x v="1"/>
  </r>
  <r>
    <x v="657"/>
    <x v="2"/>
    <x v="12"/>
    <n v="61.6"/>
    <n v="246.4"/>
    <x v="28"/>
    <d v="2025-01-30T00:00:00"/>
    <x v="1"/>
    <x v="2"/>
    <x v="0"/>
    <x v="0"/>
    <x v="11"/>
    <x v="3"/>
    <x v="4"/>
    <x v="1"/>
  </r>
  <r>
    <x v="658"/>
    <x v="6"/>
    <x v="2"/>
    <n v="48.7"/>
    <n v="146.10000000000002"/>
    <x v="28"/>
    <d v="2025-02-04T00:00:00"/>
    <x v="2"/>
    <x v="1"/>
    <x v="2"/>
    <x v="0"/>
    <x v="45"/>
    <x v="4"/>
    <x v="4"/>
    <x v="2"/>
  </r>
  <r>
    <x v="659"/>
    <x v="8"/>
    <x v="12"/>
    <n v="24.3"/>
    <n v="97.2"/>
    <x v="28"/>
    <d v="2025-01-31T00:00:00"/>
    <x v="2"/>
    <x v="1"/>
    <x v="2"/>
    <x v="0"/>
    <x v="21"/>
    <x v="1"/>
    <x v="4"/>
    <x v="2"/>
  </r>
  <r>
    <x v="660"/>
    <x v="2"/>
    <x v="1"/>
    <n v="130.69999999999999"/>
    <n v="261.39999999999998"/>
    <x v="28"/>
    <d v="2025-01-30T00:00:00"/>
    <x v="2"/>
    <x v="2"/>
    <x v="0"/>
    <x v="0"/>
    <x v="44"/>
    <x v="3"/>
    <x v="4"/>
    <x v="2"/>
  </r>
  <r>
    <x v="661"/>
    <x v="10"/>
    <x v="0"/>
    <n v="26"/>
    <n v="26"/>
    <x v="28"/>
    <d v="2025-01-31T00:00:00"/>
    <x v="1"/>
    <x v="0"/>
    <x v="0"/>
    <x v="0"/>
    <x v="3"/>
    <x v="1"/>
    <x v="4"/>
    <x v="1"/>
  </r>
  <r>
    <x v="662"/>
    <x v="2"/>
    <x v="9"/>
    <n v="94.4"/>
    <n v="472"/>
    <x v="28"/>
    <d v="2025-01-30T00:00:00"/>
    <x v="2"/>
    <x v="0"/>
    <x v="0"/>
    <x v="0"/>
    <x v="3"/>
    <x v="3"/>
    <x v="4"/>
    <x v="2"/>
  </r>
  <r>
    <x v="663"/>
    <x v="0"/>
    <x v="13"/>
    <n v="23.7"/>
    <n v="142.19999999999999"/>
    <x v="28"/>
    <d v="2025-01-31T00:00:00"/>
    <x v="1"/>
    <x v="2"/>
    <x v="2"/>
    <x v="0"/>
    <x v="3"/>
    <x v="1"/>
    <x v="4"/>
    <x v="1"/>
  </r>
  <r>
    <x v="664"/>
    <x v="9"/>
    <x v="4"/>
    <n v="37.4"/>
    <n v="448.79999999999995"/>
    <x v="28"/>
    <d v="2025-01-31T00:00:00"/>
    <x v="1"/>
    <x v="2"/>
    <x v="0"/>
    <x v="0"/>
    <x v="3"/>
    <x v="1"/>
    <x v="4"/>
    <x v="1"/>
  </r>
  <r>
    <x v="665"/>
    <x v="1"/>
    <x v="34"/>
    <n v="55.2"/>
    <n v="1987.2"/>
    <x v="28"/>
    <d v="2025-01-29T00:00:00"/>
    <x v="2"/>
    <x v="3"/>
    <x v="1"/>
    <x v="0"/>
    <x v="3"/>
    <x v="7"/>
    <x v="4"/>
    <x v="2"/>
  </r>
  <r>
    <x v="666"/>
    <x v="2"/>
    <x v="11"/>
    <n v="57.1"/>
    <n v="513.9"/>
    <x v="28"/>
    <d v="2025-01-31T00:00:00"/>
    <x v="1"/>
    <x v="0"/>
    <x v="2"/>
    <x v="0"/>
    <x v="3"/>
    <x v="1"/>
    <x v="4"/>
    <x v="1"/>
  </r>
  <r>
    <x v="667"/>
    <x v="12"/>
    <x v="0"/>
    <n v="55.3"/>
    <n v="55.3"/>
    <x v="28"/>
    <d v="2025-01-30T00:00:00"/>
    <x v="2"/>
    <x v="2"/>
    <x v="2"/>
    <x v="0"/>
    <x v="3"/>
    <x v="3"/>
    <x v="4"/>
    <x v="2"/>
  </r>
  <r>
    <x v="668"/>
    <x v="15"/>
    <x v="3"/>
    <n v="23.9"/>
    <n v="167.29999999999998"/>
    <x v="28"/>
    <d v="2025-01-30T00:00:00"/>
    <x v="2"/>
    <x v="4"/>
    <x v="1"/>
    <x v="0"/>
    <x v="3"/>
    <x v="3"/>
    <x v="4"/>
    <x v="2"/>
  </r>
  <r>
    <x v="669"/>
    <x v="0"/>
    <x v="0"/>
    <n v="34.1"/>
    <n v="34.1"/>
    <x v="28"/>
    <d v="2025-02-05T00:00:00"/>
    <x v="2"/>
    <x v="2"/>
    <x v="0"/>
    <x v="0"/>
    <x v="3"/>
    <x v="6"/>
    <x v="4"/>
    <x v="2"/>
  </r>
  <r>
    <x v="670"/>
    <x v="12"/>
    <x v="12"/>
    <n v="38.5"/>
    <n v="154"/>
    <x v="28"/>
    <d v="2025-02-09T00:00:00"/>
    <x v="2"/>
    <x v="0"/>
    <x v="0"/>
    <x v="0"/>
    <x v="3"/>
    <x v="11"/>
    <x v="4"/>
    <x v="2"/>
  </r>
  <r>
    <x v="671"/>
    <x v="7"/>
    <x v="1"/>
    <n v="105"/>
    <n v="210"/>
    <x v="28"/>
    <d v="2025-02-04T00:00:00"/>
    <x v="2"/>
    <x v="0"/>
    <x v="2"/>
    <x v="0"/>
    <x v="3"/>
    <x v="4"/>
    <x v="4"/>
    <x v="2"/>
  </r>
  <r>
    <x v="672"/>
    <x v="8"/>
    <x v="9"/>
    <n v="45.2"/>
    <n v="226"/>
    <x v="28"/>
    <d v="2025-01-31T00:00:00"/>
    <x v="2"/>
    <x v="0"/>
    <x v="2"/>
    <x v="0"/>
    <x v="3"/>
    <x v="1"/>
    <x v="4"/>
    <x v="2"/>
  </r>
  <r>
    <x v="673"/>
    <x v="17"/>
    <x v="2"/>
    <n v="24.8"/>
    <n v="74.400000000000006"/>
    <x v="28"/>
    <d v="2025-01-29T00:00:00"/>
    <x v="0"/>
    <x v="0"/>
    <x v="1"/>
    <x v="0"/>
    <x v="3"/>
    <x v="7"/>
    <x v="4"/>
    <x v="0"/>
  </r>
  <r>
    <x v="674"/>
    <x v="11"/>
    <x v="12"/>
    <n v="43.8"/>
    <n v="175.2"/>
    <x v="28"/>
    <d v="2025-02-05T00:00:00"/>
    <x v="2"/>
    <x v="1"/>
    <x v="2"/>
    <x v="0"/>
    <x v="6"/>
    <x v="6"/>
    <x v="4"/>
    <x v="2"/>
  </r>
  <r>
    <x v="675"/>
    <x v="1"/>
    <x v="0"/>
    <n v="75"/>
    <n v="75"/>
    <x v="28"/>
    <d v="2025-01-31T00:00:00"/>
    <x v="2"/>
    <x v="4"/>
    <x v="1"/>
    <x v="0"/>
    <x v="6"/>
    <x v="1"/>
    <x v="4"/>
    <x v="2"/>
  </r>
  <r>
    <x v="676"/>
    <x v="2"/>
    <x v="0"/>
    <n v="169.9"/>
    <n v="169.9"/>
    <x v="28"/>
    <d v="2025-01-30T00:00:00"/>
    <x v="1"/>
    <x v="2"/>
    <x v="0"/>
    <x v="0"/>
    <x v="6"/>
    <x v="3"/>
    <x v="4"/>
    <x v="1"/>
  </r>
  <r>
    <x v="677"/>
    <x v="9"/>
    <x v="1"/>
    <n v="72.2"/>
    <n v="144.4"/>
    <x v="28"/>
    <d v="2025-01-31T00:00:00"/>
    <x v="2"/>
    <x v="4"/>
    <x v="1"/>
    <x v="0"/>
    <x v="6"/>
    <x v="1"/>
    <x v="4"/>
    <x v="2"/>
  </r>
  <r>
    <x v="678"/>
    <x v="0"/>
    <x v="0"/>
    <n v="20"/>
    <n v="20"/>
    <x v="29"/>
    <d v="2025-02-02T00:00:00"/>
    <x v="2"/>
    <x v="2"/>
    <x v="1"/>
    <x v="0"/>
    <x v="7"/>
    <x v="2"/>
    <x v="4"/>
    <x v="2"/>
  </r>
  <r>
    <x v="679"/>
    <x v="9"/>
    <x v="1"/>
    <n v="40.799999999999997"/>
    <n v="81.599999999999994"/>
    <x v="29"/>
    <d v="2025-02-01T00:00:00"/>
    <x v="2"/>
    <x v="3"/>
    <x v="2"/>
    <x v="0"/>
    <x v="8"/>
    <x v="1"/>
    <x v="4"/>
    <x v="2"/>
  </r>
  <r>
    <x v="680"/>
    <x v="10"/>
    <x v="12"/>
    <n v="58"/>
    <n v="232"/>
    <x v="29"/>
    <d v="2025-02-03T00:00:00"/>
    <x v="2"/>
    <x v="0"/>
    <x v="0"/>
    <x v="0"/>
    <x v="8"/>
    <x v="5"/>
    <x v="4"/>
    <x v="2"/>
  </r>
  <r>
    <x v="681"/>
    <x v="12"/>
    <x v="1"/>
    <n v="43.1"/>
    <n v="86.2"/>
    <x v="29"/>
    <d v="2025-01-31T00:00:00"/>
    <x v="2"/>
    <x v="1"/>
    <x v="2"/>
    <x v="0"/>
    <x v="8"/>
    <x v="3"/>
    <x v="4"/>
    <x v="2"/>
  </r>
  <r>
    <x v="682"/>
    <x v="6"/>
    <x v="11"/>
    <n v="74.7"/>
    <n v="672.30000000000007"/>
    <x v="29"/>
    <d v="2025-02-01T00:00:00"/>
    <x v="1"/>
    <x v="0"/>
    <x v="2"/>
    <x v="0"/>
    <x v="8"/>
    <x v="1"/>
    <x v="4"/>
    <x v="1"/>
  </r>
  <r>
    <x v="683"/>
    <x v="6"/>
    <x v="0"/>
    <n v="128.19999999999999"/>
    <n v="128.19999999999999"/>
    <x v="29"/>
    <d v="2025-01-30T00:00:00"/>
    <x v="1"/>
    <x v="1"/>
    <x v="0"/>
    <x v="0"/>
    <x v="8"/>
    <x v="7"/>
    <x v="4"/>
    <x v="1"/>
  </r>
  <r>
    <x v="684"/>
    <x v="14"/>
    <x v="12"/>
    <n v="26.7"/>
    <n v="106.8"/>
    <x v="29"/>
    <d v="2025-01-31T00:00:00"/>
    <x v="1"/>
    <x v="1"/>
    <x v="0"/>
    <x v="0"/>
    <x v="8"/>
    <x v="3"/>
    <x v="4"/>
    <x v="1"/>
  </r>
  <r>
    <x v="685"/>
    <x v="17"/>
    <x v="13"/>
    <n v="31.5"/>
    <n v="189"/>
    <x v="29"/>
    <d v="2025-01-31T00:00:00"/>
    <x v="2"/>
    <x v="2"/>
    <x v="0"/>
    <x v="0"/>
    <x v="17"/>
    <x v="3"/>
    <x v="4"/>
    <x v="2"/>
  </r>
  <r>
    <x v="686"/>
    <x v="3"/>
    <x v="3"/>
    <n v="64.7"/>
    <n v="452.90000000000003"/>
    <x v="29"/>
    <d v="2025-01-31T00:00:00"/>
    <x v="2"/>
    <x v="0"/>
    <x v="2"/>
    <x v="0"/>
    <x v="9"/>
    <x v="3"/>
    <x v="4"/>
    <x v="2"/>
  </r>
  <r>
    <x v="687"/>
    <x v="5"/>
    <x v="1"/>
    <n v="55.6"/>
    <n v="111.2"/>
    <x v="29"/>
    <d v="2025-02-02T00:00:00"/>
    <x v="2"/>
    <x v="3"/>
    <x v="0"/>
    <x v="0"/>
    <x v="11"/>
    <x v="2"/>
    <x v="4"/>
    <x v="2"/>
  </r>
  <r>
    <x v="688"/>
    <x v="3"/>
    <x v="1"/>
    <n v="36.200000000000003"/>
    <n v="72.400000000000006"/>
    <x v="29"/>
    <d v="2025-01-31T00:00:00"/>
    <x v="2"/>
    <x v="3"/>
    <x v="0"/>
    <x v="0"/>
    <x v="11"/>
    <x v="3"/>
    <x v="4"/>
    <x v="2"/>
  </r>
  <r>
    <x v="689"/>
    <x v="0"/>
    <x v="0"/>
    <n v="26.6"/>
    <n v="26.6"/>
    <x v="29"/>
    <d v="2025-01-31T00:00:00"/>
    <x v="0"/>
    <x v="1"/>
    <x v="1"/>
    <x v="0"/>
    <x v="19"/>
    <x v="3"/>
    <x v="4"/>
    <x v="0"/>
  </r>
  <r>
    <x v="690"/>
    <x v="10"/>
    <x v="12"/>
    <n v="31.5"/>
    <n v="126"/>
    <x v="29"/>
    <d v="2025-02-01T00:00:00"/>
    <x v="1"/>
    <x v="0"/>
    <x v="0"/>
    <x v="0"/>
    <x v="31"/>
    <x v="1"/>
    <x v="4"/>
    <x v="1"/>
  </r>
  <r>
    <x v="691"/>
    <x v="10"/>
    <x v="0"/>
    <n v="27"/>
    <n v="27"/>
    <x v="29"/>
    <d v="2025-02-01T00:00:00"/>
    <x v="2"/>
    <x v="1"/>
    <x v="2"/>
    <x v="0"/>
    <x v="13"/>
    <x v="1"/>
    <x v="4"/>
    <x v="2"/>
  </r>
  <r>
    <x v="692"/>
    <x v="4"/>
    <x v="0"/>
    <n v="32"/>
    <n v="32"/>
    <x v="29"/>
    <d v="2025-02-02T00:00:00"/>
    <x v="1"/>
    <x v="3"/>
    <x v="0"/>
    <x v="0"/>
    <x v="21"/>
    <x v="2"/>
    <x v="4"/>
    <x v="1"/>
  </r>
  <r>
    <x v="693"/>
    <x v="1"/>
    <x v="2"/>
    <n v="48.1"/>
    <n v="144.30000000000001"/>
    <x v="29"/>
    <d v="2025-02-01T00:00:00"/>
    <x v="1"/>
    <x v="2"/>
    <x v="1"/>
    <x v="0"/>
    <x v="1"/>
    <x v="1"/>
    <x v="4"/>
    <x v="1"/>
  </r>
  <r>
    <x v="694"/>
    <x v="9"/>
    <x v="1"/>
    <n v="43.4"/>
    <n v="86.8"/>
    <x v="29"/>
    <d v="2025-01-31T00:00:00"/>
    <x v="1"/>
    <x v="1"/>
    <x v="1"/>
    <x v="0"/>
    <x v="22"/>
    <x v="3"/>
    <x v="4"/>
    <x v="1"/>
  </r>
  <r>
    <x v="695"/>
    <x v="6"/>
    <x v="1"/>
    <n v="42.6"/>
    <n v="85.2"/>
    <x v="29"/>
    <d v="2025-02-02T00:00:00"/>
    <x v="2"/>
    <x v="3"/>
    <x v="0"/>
    <x v="0"/>
    <x v="22"/>
    <x v="2"/>
    <x v="4"/>
    <x v="2"/>
  </r>
  <r>
    <x v="696"/>
    <x v="8"/>
    <x v="1"/>
    <n v="15.9"/>
    <n v="31.8"/>
    <x v="29"/>
    <d v="2025-01-31T00:00:00"/>
    <x v="2"/>
    <x v="0"/>
    <x v="0"/>
    <x v="0"/>
    <x v="34"/>
    <x v="3"/>
    <x v="4"/>
    <x v="2"/>
  </r>
  <r>
    <x v="697"/>
    <x v="9"/>
    <x v="1"/>
    <n v="63.2"/>
    <n v="126.4"/>
    <x v="29"/>
    <d v="2025-01-31T00:00:00"/>
    <x v="1"/>
    <x v="1"/>
    <x v="0"/>
    <x v="0"/>
    <x v="3"/>
    <x v="3"/>
    <x v="4"/>
    <x v="1"/>
  </r>
  <r>
    <x v="698"/>
    <x v="7"/>
    <x v="12"/>
    <n v="64.8"/>
    <n v="259.2"/>
    <x v="29"/>
    <d v="2025-02-01T00:00:00"/>
    <x v="0"/>
    <x v="4"/>
    <x v="1"/>
    <x v="0"/>
    <x v="3"/>
    <x v="1"/>
    <x v="4"/>
    <x v="0"/>
  </r>
  <r>
    <x v="699"/>
    <x v="7"/>
    <x v="2"/>
    <n v="79.8"/>
    <n v="239.39999999999998"/>
    <x v="29"/>
    <d v="2025-01-31T00:00:00"/>
    <x v="1"/>
    <x v="0"/>
    <x v="0"/>
    <x v="0"/>
    <x v="3"/>
    <x v="3"/>
    <x v="4"/>
    <x v="1"/>
  </r>
  <r>
    <x v="700"/>
    <x v="9"/>
    <x v="0"/>
    <n v="54.4"/>
    <n v="54.4"/>
    <x v="29"/>
    <d v="2025-02-01T00:00:00"/>
    <x v="2"/>
    <x v="4"/>
    <x v="2"/>
    <x v="0"/>
    <x v="3"/>
    <x v="1"/>
    <x v="4"/>
    <x v="2"/>
  </r>
  <r>
    <x v="701"/>
    <x v="6"/>
    <x v="0"/>
    <n v="87.3"/>
    <n v="87.3"/>
    <x v="29"/>
    <d v="2025-01-31T00:00:00"/>
    <x v="1"/>
    <x v="1"/>
    <x v="0"/>
    <x v="0"/>
    <x v="3"/>
    <x v="3"/>
    <x v="4"/>
    <x v="1"/>
  </r>
  <r>
    <x v="702"/>
    <x v="8"/>
    <x v="12"/>
    <n v="32.4"/>
    <n v="129.6"/>
    <x v="29"/>
    <d v="2025-01-30T00:00:00"/>
    <x v="1"/>
    <x v="1"/>
    <x v="0"/>
    <x v="0"/>
    <x v="3"/>
    <x v="7"/>
    <x v="4"/>
    <x v="1"/>
  </r>
  <r>
    <x v="703"/>
    <x v="2"/>
    <x v="0"/>
    <n v="177.4"/>
    <n v="177.4"/>
    <x v="29"/>
    <d v="2025-02-03T00:00:00"/>
    <x v="1"/>
    <x v="0"/>
    <x v="2"/>
    <x v="0"/>
    <x v="3"/>
    <x v="5"/>
    <x v="4"/>
    <x v="1"/>
  </r>
  <r>
    <x v="704"/>
    <x v="7"/>
    <x v="1"/>
    <n v="70.099999999999994"/>
    <n v="140.19999999999999"/>
    <x v="29"/>
    <d v="2025-01-31T00:00:00"/>
    <x v="1"/>
    <x v="3"/>
    <x v="1"/>
    <x v="0"/>
    <x v="3"/>
    <x v="3"/>
    <x v="4"/>
    <x v="1"/>
  </r>
  <r>
    <x v="705"/>
    <x v="9"/>
    <x v="13"/>
    <n v="51.1"/>
    <n v="306.60000000000002"/>
    <x v="29"/>
    <d v="2025-01-31T00:00:00"/>
    <x v="2"/>
    <x v="0"/>
    <x v="0"/>
    <x v="0"/>
    <x v="3"/>
    <x v="3"/>
    <x v="4"/>
    <x v="2"/>
  </r>
  <r>
    <x v="706"/>
    <x v="2"/>
    <x v="9"/>
    <n v="79.900000000000006"/>
    <n v="399.5"/>
    <x v="29"/>
    <d v="2025-02-01T00:00:00"/>
    <x v="1"/>
    <x v="3"/>
    <x v="2"/>
    <x v="0"/>
    <x v="24"/>
    <x v="1"/>
    <x v="4"/>
    <x v="1"/>
  </r>
  <r>
    <x v="707"/>
    <x v="6"/>
    <x v="0"/>
    <n v="57.6"/>
    <n v="57.6"/>
    <x v="30"/>
    <d v="2025-02-05T00:00:00"/>
    <x v="1"/>
    <x v="0"/>
    <x v="2"/>
    <x v="0"/>
    <x v="49"/>
    <x v="0"/>
    <x v="4"/>
    <x v="1"/>
  </r>
  <r>
    <x v="708"/>
    <x v="8"/>
    <x v="7"/>
    <n v="59.7"/>
    <n v="597"/>
    <x v="30"/>
    <d v="2025-02-04T00:00:00"/>
    <x v="1"/>
    <x v="2"/>
    <x v="0"/>
    <x v="0"/>
    <x v="25"/>
    <x v="5"/>
    <x v="4"/>
    <x v="1"/>
  </r>
  <r>
    <x v="709"/>
    <x v="8"/>
    <x v="9"/>
    <n v="30"/>
    <n v="150"/>
    <x v="30"/>
    <d v="2025-02-02T00:00:00"/>
    <x v="1"/>
    <x v="1"/>
    <x v="0"/>
    <x v="0"/>
    <x v="6"/>
    <x v="1"/>
    <x v="4"/>
    <x v="1"/>
  </r>
  <r>
    <x v="710"/>
    <x v="10"/>
    <x v="1"/>
    <n v="69.2"/>
    <n v="138.4"/>
    <x v="30"/>
    <d v="2025-02-02T00:00:00"/>
    <x v="0"/>
    <x v="2"/>
    <x v="1"/>
    <x v="0"/>
    <x v="6"/>
    <x v="1"/>
    <x v="4"/>
    <x v="0"/>
  </r>
  <r>
    <x v="711"/>
    <x v="0"/>
    <x v="8"/>
    <n v="10.9"/>
    <n v="87.2"/>
    <x v="30"/>
    <d v="2025-02-01T00:00:00"/>
    <x v="2"/>
    <x v="0"/>
    <x v="2"/>
    <x v="0"/>
    <x v="6"/>
    <x v="3"/>
    <x v="4"/>
    <x v="2"/>
  </r>
  <r>
    <x v="712"/>
    <x v="16"/>
    <x v="1"/>
    <n v="48.6"/>
    <n v="97.2"/>
    <x v="30"/>
    <d v="2025-02-04T00:00:00"/>
    <x v="1"/>
    <x v="1"/>
    <x v="2"/>
    <x v="0"/>
    <x v="6"/>
    <x v="5"/>
    <x v="4"/>
    <x v="1"/>
  </r>
  <r>
    <x v="713"/>
    <x v="2"/>
    <x v="1"/>
    <n v="61.1"/>
    <n v="122.2"/>
    <x v="30"/>
    <d v="2025-02-03T00:00:00"/>
    <x v="2"/>
    <x v="1"/>
    <x v="2"/>
    <x v="0"/>
    <x v="7"/>
    <x v="2"/>
    <x v="4"/>
    <x v="2"/>
  </r>
  <r>
    <x v="714"/>
    <x v="8"/>
    <x v="1"/>
    <n v="23.2"/>
    <n v="46.4"/>
    <x v="30"/>
    <d v="2025-02-01T00:00:00"/>
    <x v="1"/>
    <x v="3"/>
    <x v="2"/>
    <x v="0"/>
    <x v="8"/>
    <x v="3"/>
    <x v="4"/>
    <x v="1"/>
  </r>
  <r>
    <x v="715"/>
    <x v="12"/>
    <x v="12"/>
    <n v="55.8"/>
    <n v="223.2"/>
    <x v="30"/>
    <d v="2025-02-01T00:00:00"/>
    <x v="1"/>
    <x v="0"/>
    <x v="0"/>
    <x v="0"/>
    <x v="8"/>
    <x v="3"/>
    <x v="4"/>
    <x v="1"/>
  </r>
  <r>
    <x v="716"/>
    <x v="9"/>
    <x v="12"/>
    <n v="24.8"/>
    <n v="99.2"/>
    <x v="30"/>
    <d v="2025-02-01T00:00:00"/>
    <x v="2"/>
    <x v="0"/>
    <x v="2"/>
    <x v="0"/>
    <x v="8"/>
    <x v="3"/>
    <x v="4"/>
    <x v="2"/>
  </r>
  <r>
    <x v="717"/>
    <x v="10"/>
    <x v="1"/>
    <n v="27.9"/>
    <n v="55.8"/>
    <x v="30"/>
    <d v="2025-01-31T00:00:00"/>
    <x v="1"/>
    <x v="2"/>
    <x v="2"/>
    <x v="0"/>
    <x v="8"/>
    <x v="7"/>
    <x v="4"/>
    <x v="1"/>
  </r>
  <r>
    <x v="718"/>
    <x v="10"/>
    <x v="13"/>
    <n v="51.1"/>
    <n v="306.60000000000002"/>
    <x v="30"/>
    <d v="2025-01-31T00:00:00"/>
    <x v="2"/>
    <x v="3"/>
    <x v="0"/>
    <x v="0"/>
    <x v="8"/>
    <x v="7"/>
    <x v="4"/>
    <x v="2"/>
  </r>
  <r>
    <x v="719"/>
    <x v="17"/>
    <x v="5"/>
    <n v="32.700000000000003"/>
    <n v="359.70000000000005"/>
    <x v="30"/>
    <d v="2025-02-01T00:00:00"/>
    <x v="1"/>
    <x v="4"/>
    <x v="2"/>
    <x v="0"/>
    <x v="17"/>
    <x v="3"/>
    <x v="4"/>
    <x v="1"/>
  </r>
  <r>
    <x v="720"/>
    <x v="8"/>
    <x v="12"/>
    <n v="22.5"/>
    <n v="90"/>
    <x v="30"/>
    <d v="2025-01-31T00:00:00"/>
    <x v="1"/>
    <x v="0"/>
    <x v="2"/>
    <x v="0"/>
    <x v="26"/>
    <x v="7"/>
    <x v="4"/>
    <x v="1"/>
  </r>
  <r>
    <x v="721"/>
    <x v="0"/>
    <x v="3"/>
    <n v="14.6"/>
    <n v="102.2"/>
    <x v="30"/>
    <d v="2025-02-01T00:00:00"/>
    <x v="2"/>
    <x v="2"/>
    <x v="0"/>
    <x v="0"/>
    <x v="41"/>
    <x v="3"/>
    <x v="4"/>
    <x v="2"/>
  </r>
  <r>
    <x v="722"/>
    <x v="5"/>
    <x v="2"/>
    <n v="32.5"/>
    <n v="97.5"/>
    <x v="30"/>
    <d v="2025-02-03T00:00:00"/>
    <x v="1"/>
    <x v="0"/>
    <x v="0"/>
    <x v="0"/>
    <x v="10"/>
    <x v="2"/>
    <x v="4"/>
    <x v="1"/>
  </r>
  <r>
    <x v="723"/>
    <x v="18"/>
    <x v="0"/>
    <n v="78.099999999999994"/>
    <n v="78.099999999999994"/>
    <x v="30"/>
    <d v="2025-02-03T00:00:00"/>
    <x v="1"/>
    <x v="0"/>
    <x v="2"/>
    <x v="0"/>
    <x v="11"/>
    <x v="2"/>
    <x v="4"/>
    <x v="1"/>
  </r>
  <r>
    <x v="724"/>
    <x v="12"/>
    <x v="13"/>
    <n v="110.2"/>
    <n v="661.2"/>
    <x v="30"/>
    <d v="2025-01-31T00:00:00"/>
    <x v="1"/>
    <x v="1"/>
    <x v="4"/>
    <x v="0"/>
    <x v="13"/>
    <x v="7"/>
    <x v="4"/>
    <x v="1"/>
  </r>
  <r>
    <x v="725"/>
    <x v="6"/>
    <x v="2"/>
    <n v="86.3"/>
    <n v="258.89999999999998"/>
    <x v="30"/>
    <d v="2025-02-02T00:00:00"/>
    <x v="2"/>
    <x v="3"/>
    <x v="0"/>
    <x v="0"/>
    <x v="21"/>
    <x v="1"/>
    <x v="4"/>
    <x v="2"/>
  </r>
  <r>
    <x v="726"/>
    <x v="1"/>
    <x v="13"/>
    <n v="73.599999999999994"/>
    <n v="441.59999999999997"/>
    <x v="30"/>
    <d v="2025-02-02T00:00:00"/>
    <x v="3"/>
    <x v="3"/>
    <x v="4"/>
    <x v="0"/>
    <x v="44"/>
    <x v="1"/>
    <x v="4"/>
    <x v="3"/>
  </r>
  <r>
    <x v="727"/>
    <x v="6"/>
    <x v="15"/>
    <n v="67.7"/>
    <n v="880.1"/>
    <x v="30"/>
    <d v="2025-02-02T00:00:00"/>
    <x v="2"/>
    <x v="0"/>
    <x v="2"/>
    <x v="0"/>
    <x v="3"/>
    <x v="1"/>
    <x v="4"/>
    <x v="2"/>
  </r>
  <r>
    <x v="728"/>
    <x v="7"/>
    <x v="13"/>
    <n v="142.19999999999999"/>
    <n v="853.19999999999993"/>
    <x v="30"/>
    <d v="2025-02-01T00:00:00"/>
    <x v="2"/>
    <x v="2"/>
    <x v="4"/>
    <x v="0"/>
    <x v="3"/>
    <x v="3"/>
    <x v="4"/>
    <x v="2"/>
  </r>
  <r>
    <x v="729"/>
    <x v="1"/>
    <x v="11"/>
    <n v="45.8"/>
    <n v="412.2"/>
    <x v="30"/>
    <d v="2025-02-02T00:00:00"/>
    <x v="2"/>
    <x v="1"/>
    <x v="2"/>
    <x v="0"/>
    <x v="3"/>
    <x v="1"/>
    <x v="4"/>
    <x v="2"/>
  </r>
  <r>
    <x v="730"/>
    <x v="10"/>
    <x v="1"/>
    <n v="24.2"/>
    <n v="48.4"/>
    <x v="31"/>
    <d v="2025-02-04T00:00:00"/>
    <x v="2"/>
    <x v="3"/>
    <x v="2"/>
    <x v="0"/>
    <x v="3"/>
    <x v="2"/>
    <x v="4"/>
    <x v="2"/>
  </r>
  <r>
    <x v="731"/>
    <x v="2"/>
    <x v="2"/>
    <n v="144.9"/>
    <n v="434.70000000000005"/>
    <x v="31"/>
    <d v="2025-02-02T00:00:00"/>
    <x v="3"/>
    <x v="2"/>
    <x v="2"/>
    <x v="0"/>
    <x v="3"/>
    <x v="3"/>
    <x v="4"/>
    <x v="3"/>
  </r>
  <r>
    <x v="732"/>
    <x v="11"/>
    <x v="9"/>
    <n v="32.799999999999997"/>
    <n v="164"/>
    <x v="31"/>
    <d v="2025-02-04T00:00:00"/>
    <x v="2"/>
    <x v="2"/>
    <x v="0"/>
    <x v="0"/>
    <x v="23"/>
    <x v="2"/>
    <x v="4"/>
    <x v="2"/>
  </r>
  <r>
    <x v="733"/>
    <x v="7"/>
    <x v="7"/>
    <n v="35.700000000000003"/>
    <n v="357"/>
    <x v="31"/>
    <d v="2025-02-01T00:00:00"/>
    <x v="2"/>
    <x v="0"/>
    <x v="1"/>
    <x v="0"/>
    <x v="6"/>
    <x v="7"/>
    <x v="4"/>
    <x v="2"/>
  </r>
  <r>
    <x v="734"/>
    <x v="9"/>
    <x v="1"/>
    <n v="54.6"/>
    <n v="109.2"/>
    <x v="31"/>
    <d v="2025-02-02T00:00:00"/>
    <x v="2"/>
    <x v="2"/>
    <x v="0"/>
    <x v="0"/>
    <x v="6"/>
    <x v="3"/>
    <x v="4"/>
    <x v="2"/>
  </r>
  <r>
    <x v="735"/>
    <x v="8"/>
    <x v="1"/>
    <n v="35.700000000000003"/>
    <n v="71.400000000000006"/>
    <x v="31"/>
    <d v="2025-02-04T00:00:00"/>
    <x v="0"/>
    <x v="0"/>
    <x v="1"/>
    <x v="0"/>
    <x v="6"/>
    <x v="2"/>
    <x v="4"/>
    <x v="0"/>
  </r>
  <r>
    <x v="736"/>
    <x v="10"/>
    <x v="1"/>
    <n v="52.4"/>
    <n v="104.8"/>
    <x v="31"/>
    <d v="2025-02-01T00:00:00"/>
    <x v="2"/>
    <x v="0"/>
    <x v="3"/>
    <x v="0"/>
    <x v="6"/>
    <x v="7"/>
    <x v="4"/>
    <x v="2"/>
  </r>
  <r>
    <x v="737"/>
    <x v="8"/>
    <x v="21"/>
    <n v="16.2"/>
    <n v="226.79999999999998"/>
    <x v="31"/>
    <d v="2025-02-02T00:00:00"/>
    <x v="0"/>
    <x v="0"/>
    <x v="1"/>
    <x v="0"/>
    <x v="8"/>
    <x v="3"/>
    <x v="4"/>
    <x v="0"/>
  </r>
  <r>
    <x v="738"/>
    <x v="6"/>
    <x v="35"/>
    <n v="42.8"/>
    <n v="2011.6"/>
    <x v="31"/>
    <d v="2025-02-02T00:00:00"/>
    <x v="2"/>
    <x v="0"/>
    <x v="0"/>
    <x v="0"/>
    <x v="8"/>
    <x v="3"/>
    <x v="4"/>
    <x v="2"/>
  </r>
  <r>
    <x v="739"/>
    <x v="6"/>
    <x v="11"/>
    <n v="144.4"/>
    <n v="1299.6000000000001"/>
    <x v="31"/>
    <d v="2025-02-04T00:00:00"/>
    <x v="2"/>
    <x v="4"/>
    <x v="0"/>
    <x v="0"/>
    <x v="8"/>
    <x v="2"/>
    <x v="4"/>
    <x v="2"/>
  </r>
  <r>
    <x v="740"/>
    <x v="3"/>
    <x v="34"/>
    <n v="30.6"/>
    <n v="1101.6000000000001"/>
    <x v="31"/>
    <d v="2025-02-05T00:00:00"/>
    <x v="2"/>
    <x v="2"/>
    <x v="2"/>
    <x v="0"/>
    <x v="11"/>
    <x v="5"/>
    <x v="4"/>
    <x v="2"/>
  </r>
  <r>
    <x v="741"/>
    <x v="2"/>
    <x v="1"/>
    <n v="117.5"/>
    <n v="235"/>
    <x v="31"/>
    <d v="2025-02-02T00:00:00"/>
    <x v="1"/>
    <x v="0"/>
    <x v="0"/>
    <x v="0"/>
    <x v="19"/>
    <x v="3"/>
    <x v="4"/>
    <x v="1"/>
  </r>
  <r>
    <x v="742"/>
    <x v="6"/>
    <x v="1"/>
    <n v="105.7"/>
    <n v="211.4"/>
    <x v="31"/>
    <d v="2025-02-02T00:00:00"/>
    <x v="2"/>
    <x v="2"/>
    <x v="2"/>
    <x v="0"/>
    <x v="21"/>
    <x v="3"/>
    <x v="4"/>
    <x v="2"/>
  </r>
  <r>
    <x v="743"/>
    <x v="3"/>
    <x v="2"/>
    <n v="133.69999999999999"/>
    <n v="401.09999999999997"/>
    <x v="31"/>
    <d v="2025-02-02T00:00:00"/>
    <x v="0"/>
    <x v="4"/>
    <x v="2"/>
    <x v="0"/>
    <x v="21"/>
    <x v="3"/>
    <x v="4"/>
    <x v="0"/>
  </r>
  <r>
    <x v="744"/>
    <x v="4"/>
    <x v="9"/>
    <n v="46.8"/>
    <n v="234"/>
    <x v="32"/>
    <d v="2025-02-10T00:00:00"/>
    <x v="2"/>
    <x v="0"/>
    <x v="1"/>
    <x v="0"/>
    <x v="21"/>
    <x v="9"/>
    <x v="5"/>
    <x v="2"/>
  </r>
  <r>
    <x v="745"/>
    <x v="10"/>
    <x v="2"/>
    <n v="58.4"/>
    <n v="175.2"/>
    <x v="32"/>
    <d v="2025-02-04T00:00:00"/>
    <x v="2"/>
    <x v="0"/>
    <x v="0"/>
    <x v="0"/>
    <x v="1"/>
    <x v="1"/>
    <x v="5"/>
    <x v="2"/>
  </r>
  <r>
    <x v="746"/>
    <x v="6"/>
    <x v="11"/>
    <n v="65.099999999999994"/>
    <n v="585.9"/>
    <x v="32"/>
    <d v="2025-02-06T00:00:00"/>
    <x v="1"/>
    <x v="1"/>
    <x v="2"/>
    <x v="0"/>
    <x v="22"/>
    <x v="5"/>
    <x v="5"/>
    <x v="1"/>
  </r>
  <r>
    <x v="747"/>
    <x v="8"/>
    <x v="0"/>
    <n v="18.600000000000001"/>
    <n v="18.600000000000001"/>
    <x v="32"/>
    <d v="2025-02-05T00:00:00"/>
    <x v="2"/>
    <x v="0"/>
    <x v="4"/>
    <x v="0"/>
    <x v="22"/>
    <x v="2"/>
    <x v="5"/>
    <x v="2"/>
  </r>
  <r>
    <x v="748"/>
    <x v="1"/>
    <x v="5"/>
    <n v="92.3"/>
    <n v="1015.3"/>
    <x v="32"/>
    <d v="2025-02-04T00:00:00"/>
    <x v="1"/>
    <x v="1"/>
    <x v="0"/>
    <x v="0"/>
    <x v="3"/>
    <x v="1"/>
    <x v="5"/>
    <x v="1"/>
  </r>
  <r>
    <x v="749"/>
    <x v="6"/>
    <x v="2"/>
    <n v="81.7"/>
    <n v="245.10000000000002"/>
    <x v="32"/>
    <d v="2025-02-03T00:00:00"/>
    <x v="0"/>
    <x v="4"/>
    <x v="4"/>
    <x v="0"/>
    <x v="3"/>
    <x v="3"/>
    <x v="5"/>
    <x v="0"/>
  </r>
  <r>
    <x v="750"/>
    <x v="8"/>
    <x v="1"/>
    <n v="40.9"/>
    <n v="81.8"/>
    <x v="32"/>
    <d v="2025-02-04T00:00:00"/>
    <x v="1"/>
    <x v="0"/>
    <x v="1"/>
    <x v="0"/>
    <x v="3"/>
    <x v="1"/>
    <x v="5"/>
    <x v="1"/>
  </r>
  <r>
    <x v="751"/>
    <x v="6"/>
    <x v="12"/>
    <n v="43.2"/>
    <n v="172.8"/>
    <x v="32"/>
    <d v="2025-02-08T00:00:00"/>
    <x v="2"/>
    <x v="0"/>
    <x v="1"/>
    <x v="0"/>
    <x v="3"/>
    <x v="4"/>
    <x v="5"/>
    <x v="2"/>
  </r>
  <r>
    <x v="752"/>
    <x v="8"/>
    <x v="5"/>
    <n v="25.8"/>
    <n v="283.8"/>
    <x v="32"/>
    <d v="2025-02-05T00:00:00"/>
    <x v="1"/>
    <x v="2"/>
    <x v="1"/>
    <x v="0"/>
    <x v="3"/>
    <x v="2"/>
    <x v="5"/>
    <x v="1"/>
  </r>
  <r>
    <x v="753"/>
    <x v="15"/>
    <x v="12"/>
    <n v="36.4"/>
    <n v="145.6"/>
    <x v="32"/>
    <d v="2025-02-03T00:00:00"/>
    <x v="1"/>
    <x v="0"/>
    <x v="0"/>
    <x v="0"/>
    <x v="3"/>
    <x v="3"/>
    <x v="5"/>
    <x v="1"/>
  </r>
  <r>
    <x v="754"/>
    <x v="10"/>
    <x v="0"/>
    <n v="59.1"/>
    <n v="59.1"/>
    <x v="32"/>
    <d v="2025-02-03T00:00:00"/>
    <x v="2"/>
    <x v="2"/>
    <x v="0"/>
    <x v="0"/>
    <x v="7"/>
    <x v="3"/>
    <x v="5"/>
    <x v="2"/>
  </r>
  <r>
    <x v="755"/>
    <x v="2"/>
    <x v="14"/>
    <n v="74.5"/>
    <n v="1266.5"/>
    <x v="32"/>
    <d v="2025-02-04T00:00:00"/>
    <x v="1"/>
    <x v="4"/>
    <x v="0"/>
    <x v="0"/>
    <x v="18"/>
    <x v="1"/>
    <x v="5"/>
    <x v="1"/>
  </r>
  <r>
    <x v="756"/>
    <x v="5"/>
    <x v="0"/>
    <n v="72.8"/>
    <n v="72.8"/>
    <x v="32"/>
    <d v="2025-02-03T00:00:00"/>
    <x v="2"/>
    <x v="0"/>
    <x v="1"/>
    <x v="0"/>
    <x v="19"/>
    <x v="3"/>
    <x v="5"/>
    <x v="2"/>
  </r>
  <r>
    <x v="757"/>
    <x v="6"/>
    <x v="12"/>
    <n v="137.30000000000001"/>
    <n v="549.20000000000005"/>
    <x v="32"/>
    <d v="2025-02-05T00:00:00"/>
    <x v="2"/>
    <x v="0"/>
    <x v="0"/>
    <x v="0"/>
    <x v="13"/>
    <x v="2"/>
    <x v="5"/>
    <x v="2"/>
  </r>
  <r>
    <x v="758"/>
    <x v="1"/>
    <x v="2"/>
    <n v="48.7"/>
    <n v="146.10000000000002"/>
    <x v="32"/>
    <d v="2025-02-07T00:00:00"/>
    <x v="2"/>
    <x v="0"/>
    <x v="1"/>
    <x v="0"/>
    <x v="21"/>
    <x v="0"/>
    <x v="5"/>
    <x v="2"/>
  </r>
  <r>
    <x v="759"/>
    <x v="6"/>
    <x v="12"/>
    <n v="53.7"/>
    <n v="214.8"/>
    <x v="32"/>
    <d v="2025-02-06T00:00:00"/>
    <x v="1"/>
    <x v="1"/>
    <x v="4"/>
    <x v="0"/>
    <x v="2"/>
    <x v="5"/>
    <x v="5"/>
    <x v="1"/>
  </r>
  <r>
    <x v="760"/>
    <x v="2"/>
    <x v="3"/>
    <n v="100.9"/>
    <n v="706.30000000000007"/>
    <x v="32"/>
    <d v="2025-02-04T00:00:00"/>
    <x v="2"/>
    <x v="0"/>
    <x v="1"/>
    <x v="0"/>
    <x v="2"/>
    <x v="1"/>
    <x v="5"/>
    <x v="2"/>
  </r>
  <r>
    <x v="761"/>
    <x v="10"/>
    <x v="1"/>
    <n v="41.8"/>
    <n v="83.6"/>
    <x v="32"/>
    <d v="2025-02-06T00:00:00"/>
    <x v="1"/>
    <x v="3"/>
    <x v="2"/>
    <x v="0"/>
    <x v="22"/>
    <x v="5"/>
    <x v="5"/>
    <x v="1"/>
  </r>
  <r>
    <x v="762"/>
    <x v="4"/>
    <x v="8"/>
    <n v="28.5"/>
    <n v="228"/>
    <x v="32"/>
    <d v="2025-02-04T00:00:00"/>
    <x v="1"/>
    <x v="2"/>
    <x v="1"/>
    <x v="0"/>
    <x v="3"/>
    <x v="1"/>
    <x v="5"/>
    <x v="1"/>
  </r>
  <r>
    <x v="763"/>
    <x v="7"/>
    <x v="12"/>
    <n v="88.9"/>
    <n v="355.6"/>
    <x v="32"/>
    <d v="2025-02-05T00:00:00"/>
    <x v="2"/>
    <x v="0"/>
    <x v="2"/>
    <x v="0"/>
    <x v="3"/>
    <x v="2"/>
    <x v="5"/>
    <x v="2"/>
  </r>
  <r>
    <x v="764"/>
    <x v="6"/>
    <x v="0"/>
    <n v="62.5"/>
    <n v="62.5"/>
    <x v="32"/>
    <d v="2025-02-11T00:00:00"/>
    <x v="2"/>
    <x v="0"/>
    <x v="2"/>
    <x v="0"/>
    <x v="3"/>
    <x v="8"/>
    <x v="5"/>
    <x v="2"/>
  </r>
  <r>
    <x v="765"/>
    <x v="1"/>
    <x v="2"/>
    <n v="46.9"/>
    <n v="140.69999999999999"/>
    <x v="32"/>
    <d v="2025-02-03T00:00:00"/>
    <x v="1"/>
    <x v="0"/>
    <x v="2"/>
    <x v="0"/>
    <x v="3"/>
    <x v="3"/>
    <x v="5"/>
    <x v="1"/>
  </r>
  <r>
    <x v="766"/>
    <x v="8"/>
    <x v="2"/>
    <n v="45"/>
    <n v="135"/>
    <x v="32"/>
    <d v="2025-02-16T00:00:00"/>
    <x v="1"/>
    <x v="1"/>
    <x v="0"/>
    <x v="0"/>
    <x v="3"/>
    <x v="12"/>
    <x v="5"/>
    <x v="1"/>
  </r>
  <r>
    <x v="767"/>
    <x v="6"/>
    <x v="2"/>
    <n v="45.2"/>
    <n v="135.60000000000002"/>
    <x v="32"/>
    <d v="2025-02-04T00:00:00"/>
    <x v="1"/>
    <x v="4"/>
    <x v="2"/>
    <x v="0"/>
    <x v="3"/>
    <x v="1"/>
    <x v="5"/>
    <x v="1"/>
  </r>
  <r>
    <x v="768"/>
    <x v="4"/>
    <x v="1"/>
    <n v="60.1"/>
    <n v="120.2"/>
    <x v="32"/>
    <d v="2025-02-03T00:00:00"/>
    <x v="2"/>
    <x v="0"/>
    <x v="2"/>
    <x v="0"/>
    <x v="3"/>
    <x v="3"/>
    <x v="5"/>
    <x v="2"/>
  </r>
  <r>
    <x v="769"/>
    <x v="12"/>
    <x v="12"/>
    <n v="118.7"/>
    <n v="474.8"/>
    <x v="32"/>
    <d v="2025-02-04T00:00:00"/>
    <x v="2"/>
    <x v="0"/>
    <x v="0"/>
    <x v="0"/>
    <x v="3"/>
    <x v="1"/>
    <x v="5"/>
    <x v="2"/>
  </r>
  <r>
    <x v="770"/>
    <x v="9"/>
    <x v="0"/>
    <n v="57.8"/>
    <n v="57.8"/>
    <x v="32"/>
    <d v="2025-02-11T00:00:00"/>
    <x v="2"/>
    <x v="1"/>
    <x v="0"/>
    <x v="0"/>
    <x v="3"/>
    <x v="8"/>
    <x v="5"/>
    <x v="2"/>
  </r>
  <r>
    <x v="771"/>
    <x v="4"/>
    <x v="0"/>
    <n v="19.5"/>
    <n v="19.5"/>
    <x v="32"/>
    <d v="2025-02-03T00:00:00"/>
    <x v="1"/>
    <x v="1"/>
    <x v="1"/>
    <x v="0"/>
    <x v="3"/>
    <x v="3"/>
    <x v="5"/>
    <x v="1"/>
  </r>
  <r>
    <x v="772"/>
    <x v="12"/>
    <x v="0"/>
    <n v="42.6"/>
    <n v="42.6"/>
    <x v="32"/>
    <d v="2025-02-03T00:00:00"/>
    <x v="1"/>
    <x v="0"/>
    <x v="1"/>
    <x v="0"/>
    <x v="3"/>
    <x v="3"/>
    <x v="5"/>
    <x v="1"/>
  </r>
  <r>
    <x v="773"/>
    <x v="6"/>
    <x v="1"/>
    <n v="74.8"/>
    <n v="149.6"/>
    <x v="32"/>
    <d v="2025-02-03T00:00:00"/>
    <x v="2"/>
    <x v="3"/>
    <x v="2"/>
    <x v="0"/>
    <x v="37"/>
    <x v="3"/>
    <x v="5"/>
    <x v="2"/>
  </r>
  <r>
    <x v="774"/>
    <x v="8"/>
    <x v="2"/>
    <n v="32.5"/>
    <n v="97.5"/>
    <x v="32"/>
    <d v="2025-02-03T00:00:00"/>
    <x v="1"/>
    <x v="2"/>
    <x v="4"/>
    <x v="0"/>
    <x v="16"/>
    <x v="3"/>
    <x v="5"/>
    <x v="1"/>
  </r>
  <r>
    <x v="775"/>
    <x v="2"/>
    <x v="2"/>
    <n v="60.5"/>
    <n v="181.5"/>
    <x v="32"/>
    <d v="2025-02-02T00:00:00"/>
    <x v="2"/>
    <x v="1"/>
    <x v="2"/>
    <x v="0"/>
    <x v="25"/>
    <x v="7"/>
    <x v="5"/>
    <x v="2"/>
  </r>
  <r>
    <x v="776"/>
    <x v="1"/>
    <x v="3"/>
    <n v="57.2"/>
    <n v="400.40000000000003"/>
    <x v="32"/>
    <d v="2025-02-04T00:00:00"/>
    <x v="0"/>
    <x v="2"/>
    <x v="0"/>
    <x v="0"/>
    <x v="25"/>
    <x v="1"/>
    <x v="5"/>
    <x v="0"/>
  </r>
  <r>
    <x v="777"/>
    <x v="16"/>
    <x v="1"/>
    <n v="112"/>
    <n v="224"/>
    <x v="32"/>
    <d v="2025-02-03T00:00:00"/>
    <x v="2"/>
    <x v="1"/>
    <x v="1"/>
    <x v="0"/>
    <x v="5"/>
    <x v="3"/>
    <x v="5"/>
    <x v="2"/>
  </r>
  <r>
    <x v="778"/>
    <x v="7"/>
    <x v="7"/>
    <n v="49"/>
    <n v="490"/>
    <x v="32"/>
    <d v="2025-02-03T00:00:00"/>
    <x v="3"/>
    <x v="2"/>
    <x v="1"/>
    <x v="0"/>
    <x v="6"/>
    <x v="3"/>
    <x v="5"/>
    <x v="3"/>
  </r>
  <r>
    <x v="779"/>
    <x v="0"/>
    <x v="1"/>
    <n v="33.700000000000003"/>
    <n v="67.400000000000006"/>
    <x v="32"/>
    <d v="2025-02-06T00:00:00"/>
    <x v="2"/>
    <x v="3"/>
    <x v="0"/>
    <x v="0"/>
    <x v="6"/>
    <x v="5"/>
    <x v="5"/>
    <x v="2"/>
  </r>
  <r>
    <x v="780"/>
    <x v="4"/>
    <x v="2"/>
    <n v="35.6"/>
    <n v="106.80000000000001"/>
    <x v="32"/>
    <d v="2025-02-05T00:00:00"/>
    <x v="2"/>
    <x v="0"/>
    <x v="2"/>
    <x v="0"/>
    <x v="6"/>
    <x v="2"/>
    <x v="5"/>
    <x v="2"/>
  </r>
  <r>
    <x v="781"/>
    <x v="4"/>
    <x v="36"/>
    <n v="30.4"/>
    <n v="1064"/>
    <x v="33"/>
    <d v="2025-02-03T00:00:00"/>
    <x v="2"/>
    <x v="0"/>
    <x v="1"/>
    <x v="0"/>
    <x v="7"/>
    <x v="7"/>
    <x v="5"/>
    <x v="2"/>
  </r>
  <r>
    <x v="782"/>
    <x v="10"/>
    <x v="4"/>
    <n v="50.2"/>
    <n v="602.40000000000009"/>
    <x v="33"/>
    <d v="2025-02-04T00:00:00"/>
    <x v="1"/>
    <x v="4"/>
    <x v="0"/>
    <x v="0"/>
    <x v="8"/>
    <x v="3"/>
    <x v="5"/>
    <x v="1"/>
  </r>
  <r>
    <x v="783"/>
    <x v="1"/>
    <x v="1"/>
    <n v="43.7"/>
    <n v="87.4"/>
    <x v="33"/>
    <d v="2025-02-05T00:00:00"/>
    <x v="2"/>
    <x v="0"/>
    <x v="0"/>
    <x v="0"/>
    <x v="8"/>
    <x v="1"/>
    <x v="5"/>
    <x v="2"/>
  </r>
  <r>
    <x v="784"/>
    <x v="10"/>
    <x v="0"/>
    <n v="33.299999999999997"/>
    <n v="33.299999999999997"/>
    <x v="33"/>
    <d v="2025-02-04T00:00:00"/>
    <x v="2"/>
    <x v="2"/>
    <x v="1"/>
    <x v="0"/>
    <x v="8"/>
    <x v="3"/>
    <x v="5"/>
    <x v="2"/>
  </r>
  <r>
    <x v="785"/>
    <x v="8"/>
    <x v="12"/>
    <n v="15.1"/>
    <n v="60.4"/>
    <x v="33"/>
    <d v="2025-02-05T00:00:00"/>
    <x v="2"/>
    <x v="4"/>
    <x v="2"/>
    <x v="0"/>
    <x v="8"/>
    <x v="1"/>
    <x v="5"/>
    <x v="2"/>
  </r>
  <r>
    <x v="786"/>
    <x v="6"/>
    <x v="9"/>
    <n v="118.2"/>
    <n v="591"/>
    <x v="33"/>
    <d v="2025-02-04T00:00:00"/>
    <x v="2"/>
    <x v="3"/>
    <x v="4"/>
    <x v="0"/>
    <x v="8"/>
    <x v="3"/>
    <x v="5"/>
    <x v="2"/>
  </r>
  <r>
    <x v="787"/>
    <x v="10"/>
    <x v="2"/>
    <n v="28.9"/>
    <n v="86.699999999999989"/>
    <x v="33"/>
    <d v="2025-02-05T00:00:00"/>
    <x v="2"/>
    <x v="2"/>
    <x v="1"/>
    <x v="0"/>
    <x v="8"/>
    <x v="1"/>
    <x v="5"/>
    <x v="2"/>
  </r>
  <r>
    <x v="788"/>
    <x v="4"/>
    <x v="2"/>
    <n v="55.6"/>
    <n v="166.8"/>
    <x v="33"/>
    <d v="2025-02-04T00:00:00"/>
    <x v="1"/>
    <x v="0"/>
    <x v="1"/>
    <x v="0"/>
    <x v="8"/>
    <x v="3"/>
    <x v="5"/>
    <x v="1"/>
  </r>
  <r>
    <x v="789"/>
    <x v="9"/>
    <x v="12"/>
    <n v="25.6"/>
    <n v="102.4"/>
    <x v="33"/>
    <d v="2025-02-05T00:00:00"/>
    <x v="2"/>
    <x v="0"/>
    <x v="1"/>
    <x v="0"/>
    <x v="8"/>
    <x v="1"/>
    <x v="5"/>
    <x v="2"/>
  </r>
  <r>
    <x v="790"/>
    <x v="7"/>
    <x v="2"/>
    <n v="31.3"/>
    <n v="93.9"/>
    <x v="33"/>
    <d v="2025-02-04T00:00:00"/>
    <x v="1"/>
    <x v="0"/>
    <x v="0"/>
    <x v="0"/>
    <x v="17"/>
    <x v="3"/>
    <x v="5"/>
    <x v="1"/>
  </r>
  <r>
    <x v="791"/>
    <x v="0"/>
    <x v="2"/>
    <n v="22.1"/>
    <n v="66.300000000000011"/>
    <x v="33"/>
    <d v="2025-02-07T00:00:00"/>
    <x v="1"/>
    <x v="0"/>
    <x v="0"/>
    <x v="0"/>
    <x v="17"/>
    <x v="5"/>
    <x v="5"/>
    <x v="1"/>
  </r>
  <r>
    <x v="792"/>
    <x v="2"/>
    <x v="21"/>
    <n v="99.4"/>
    <n v="1391.6000000000001"/>
    <x v="33"/>
    <d v="2025-02-04T00:00:00"/>
    <x v="1"/>
    <x v="1"/>
    <x v="0"/>
    <x v="0"/>
    <x v="11"/>
    <x v="3"/>
    <x v="5"/>
    <x v="1"/>
  </r>
  <r>
    <x v="793"/>
    <x v="7"/>
    <x v="13"/>
    <n v="66.599999999999994"/>
    <n v="399.59999999999997"/>
    <x v="33"/>
    <d v="2025-02-04T00:00:00"/>
    <x v="2"/>
    <x v="0"/>
    <x v="0"/>
    <x v="0"/>
    <x v="11"/>
    <x v="3"/>
    <x v="5"/>
    <x v="2"/>
  </r>
  <r>
    <x v="794"/>
    <x v="8"/>
    <x v="1"/>
    <n v="22.6"/>
    <n v="45.2"/>
    <x v="33"/>
    <d v="2025-02-06T00:00:00"/>
    <x v="1"/>
    <x v="0"/>
    <x v="0"/>
    <x v="0"/>
    <x v="11"/>
    <x v="2"/>
    <x v="5"/>
    <x v="1"/>
  </r>
  <r>
    <x v="795"/>
    <x v="2"/>
    <x v="16"/>
    <n v="66.8"/>
    <n v="1202.3999999999999"/>
    <x v="33"/>
    <d v="2025-02-04T00:00:00"/>
    <x v="2"/>
    <x v="0"/>
    <x v="4"/>
    <x v="0"/>
    <x v="13"/>
    <x v="3"/>
    <x v="5"/>
    <x v="2"/>
  </r>
  <r>
    <x v="796"/>
    <x v="0"/>
    <x v="12"/>
    <n v="20.8"/>
    <n v="83.2"/>
    <x v="33"/>
    <d v="2025-02-10T00:00:00"/>
    <x v="1"/>
    <x v="1"/>
    <x v="4"/>
    <x v="0"/>
    <x v="1"/>
    <x v="6"/>
    <x v="5"/>
    <x v="1"/>
  </r>
  <r>
    <x v="797"/>
    <x v="2"/>
    <x v="3"/>
    <n v="102.5"/>
    <n v="717.5"/>
    <x v="33"/>
    <d v="2025-02-04T00:00:00"/>
    <x v="2"/>
    <x v="4"/>
    <x v="2"/>
    <x v="0"/>
    <x v="3"/>
    <x v="3"/>
    <x v="5"/>
    <x v="2"/>
  </r>
  <r>
    <x v="798"/>
    <x v="0"/>
    <x v="16"/>
    <n v="24.8"/>
    <n v="446.40000000000003"/>
    <x v="33"/>
    <d v="2025-02-07T00:00:00"/>
    <x v="2"/>
    <x v="0"/>
    <x v="0"/>
    <x v="0"/>
    <x v="3"/>
    <x v="5"/>
    <x v="5"/>
    <x v="2"/>
  </r>
  <r>
    <x v="799"/>
    <x v="4"/>
    <x v="37"/>
    <n v="31.4"/>
    <n v="973.4"/>
    <x v="33"/>
    <d v="2025-02-04T00:00:00"/>
    <x v="2"/>
    <x v="3"/>
    <x v="0"/>
    <x v="0"/>
    <x v="3"/>
    <x v="3"/>
    <x v="5"/>
    <x v="2"/>
  </r>
  <r>
    <x v="800"/>
    <x v="9"/>
    <x v="9"/>
    <n v="59.3"/>
    <n v="296.5"/>
    <x v="33"/>
    <d v="2025-02-06T00:00:00"/>
    <x v="1"/>
    <x v="1"/>
    <x v="2"/>
    <x v="0"/>
    <x v="43"/>
    <x v="2"/>
    <x v="5"/>
    <x v="1"/>
  </r>
  <r>
    <x v="801"/>
    <x v="11"/>
    <x v="13"/>
    <n v="39"/>
    <n v="234"/>
    <x v="33"/>
    <d v="2025-02-06T00:00:00"/>
    <x v="1"/>
    <x v="1"/>
    <x v="0"/>
    <x v="0"/>
    <x v="6"/>
    <x v="2"/>
    <x v="5"/>
    <x v="1"/>
  </r>
  <r>
    <x v="802"/>
    <x v="5"/>
    <x v="13"/>
    <n v="98.6"/>
    <n v="591.59999999999991"/>
    <x v="33"/>
    <d v="2025-02-05T00:00:00"/>
    <x v="2"/>
    <x v="1"/>
    <x v="0"/>
    <x v="0"/>
    <x v="6"/>
    <x v="1"/>
    <x v="5"/>
    <x v="2"/>
  </r>
  <r>
    <x v="803"/>
    <x v="8"/>
    <x v="0"/>
    <n v="20"/>
    <n v="20"/>
    <x v="34"/>
    <d v="2025-02-05T00:00:00"/>
    <x v="1"/>
    <x v="3"/>
    <x v="2"/>
    <x v="0"/>
    <x v="8"/>
    <x v="3"/>
    <x v="5"/>
    <x v="1"/>
  </r>
  <r>
    <x v="804"/>
    <x v="1"/>
    <x v="1"/>
    <n v="42.9"/>
    <n v="85.8"/>
    <x v="34"/>
    <d v="2025-02-06T00:00:00"/>
    <x v="2"/>
    <x v="0"/>
    <x v="2"/>
    <x v="0"/>
    <x v="8"/>
    <x v="1"/>
    <x v="5"/>
    <x v="2"/>
  </r>
  <r>
    <x v="805"/>
    <x v="7"/>
    <x v="3"/>
    <n v="55.6"/>
    <n v="389.2"/>
    <x v="34"/>
    <d v="2025-02-06T00:00:00"/>
    <x v="2"/>
    <x v="2"/>
    <x v="1"/>
    <x v="0"/>
    <x v="8"/>
    <x v="1"/>
    <x v="5"/>
    <x v="2"/>
  </r>
  <r>
    <x v="806"/>
    <x v="8"/>
    <x v="12"/>
    <n v="19.2"/>
    <n v="76.8"/>
    <x v="34"/>
    <d v="2025-02-09T00:00:00"/>
    <x v="2"/>
    <x v="0"/>
    <x v="0"/>
    <x v="0"/>
    <x v="41"/>
    <x v="0"/>
    <x v="5"/>
    <x v="2"/>
  </r>
  <r>
    <x v="807"/>
    <x v="5"/>
    <x v="1"/>
    <n v="28.8"/>
    <n v="57.6"/>
    <x v="34"/>
    <d v="2025-02-06T00:00:00"/>
    <x v="1"/>
    <x v="1"/>
    <x v="0"/>
    <x v="0"/>
    <x v="18"/>
    <x v="1"/>
    <x v="5"/>
    <x v="1"/>
  </r>
  <r>
    <x v="808"/>
    <x v="4"/>
    <x v="0"/>
    <n v="29.7"/>
    <n v="29.7"/>
    <x v="34"/>
    <d v="2025-02-06T00:00:00"/>
    <x v="2"/>
    <x v="2"/>
    <x v="4"/>
    <x v="0"/>
    <x v="20"/>
    <x v="1"/>
    <x v="5"/>
    <x v="2"/>
  </r>
  <r>
    <x v="809"/>
    <x v="6"/>
    <x v="13"/>
    <n v="63.3"/>
    <n v="379.79999999999995"/>
    <x v="34"/>
    <d v="2025-02-05T00:00:00"/>
    <x v="0"/>
    <x v="0"/>
    <x v="2"/>
    <x v="0"/>
    <x v="21"/>
    <x v="3"/>
    <x v="5"/>
    <x v="0"/>
  </r>
  <r>
    <x v="810"/>
    <x v="4"/>
    <x v="0"/>
    <n v="46"/>
    <n v="46"/>
    <x v="34"/>
    <d v="2025-02-05T00:00:00"/>
    <x v="2"/>
    <x v="0"/>
    <x v="2"/>
    <x v="0"/>
    <x v="21"/>
    <x v="3"/>
    <x v="5"/>
    <x v="2"/>
  </r>
  <r>
    <x v="811"/>
    <x v="11"/>
    <x v="2"/>
    <n v="38"/>
    <n v="114"/>
    <x v="34"/>
    <d v="2025-02-06T00:00:00"/>
    <x v="2"/>
    <x v="1"/>
    <x v="2"/>
    <x v="0"/>
    <x v="21"/>
    <x v="1"/>
    <x v="5"/>
    <x v="2"/>
  </r>
  <r>
    <x v="812"/>
    <x v="10"/>
    <x v="15"/>
    <n v="34.6"/>
    <n v="449.8"/>
    <x v="34"/>
    <d v="2025-02-06T00:00:00"/>
    <x v="2"/>
    <x v="0"/>
    <x v="1"/>
    <x v="0"/>
    <x v="21"/>
    <x v="1"/>
    <x v="5"/>
    <x v="2"/>
  </r>
  <r>
    <x v="813"/>
    <x v="3"/>
    <x v="7"/>
    <n v="79.7"/>
    <n v="797"/>
    <x v="34"/>
    <d v="2025-02-05T00:00:00"/>
    <x v="2"/>
    <x v="4"/>
    <x v="1"/>
    <x v="0"/>
    <x v="21"/>
    <x v="3"/>
    <x v="5"/>
    <x v="2"/>
  </r>
  <r>
    <x v="814"/>
    <x v="8"/>
    <x v="8"/>
    <n v="30.5"/>
    <n v="244"/>
    <x v="34"/>
    <d v="2025-02-08T00:00:00"/>
    <x v="1"/>
    <x v="3"/>
    <x v="0"/>
    <x v="0"/>
    <x v="1"/>
    <x v="5"/>
    <x v="5"/>
    <x v="1"/>
  </r>
  <r>
    <x v="815"/>
    <x v="0"/>
    <x v="1"/>
    <n v="20.8"/>
    <n v="41.6"/>
    <x v="34"/>
    <d v="2025-02-05T00:00:00"/>
    <x v="2"/>
    <x v="0"/>
    <x v="0"/>
    <x v="0"/>
    <x v="2"/>
    <x v="3"/>
    <x v="5"/>
    <x v="2"/>
  </r>
  <r>
    <x v="816"/>
    <x v="11"/>
    <x v="3"/>
    <n v="48.5"/>
    <n v="339.5"/>
    <x v="34"/>
    <d v="2025-02-08T00:00:00"/>
    <x v="2"/>
    <x v="2"/>
    <x v="2"/>
    <x v="0"/>
    <x v="2"/>
    <x v="5"/>
    <x v="5"/>
    <x v="2"/>
  </r>
  <r>
    <x v="817"/>
    <x v="2"/>
    <x v="12"/>
    <n v="61.8"/>
    <n v="247.2"/>
    <x v="34"/>
    <d v="2025-02-08T00:00:00"/>
    <x v="2"/>
    <x v="4"/>
    <x v="0"/>
    <x v="0"/>
    <x v="22"/>
    <x v="5"/>
    <x v="5"/>
    <x v="2"/>
  </r>
  <r>
    <x v="818"/>
    <x v="10"/>
    <x v="0"/>
    <n v="46.1"/>
    <n v="46.1"/>
    <x v="34"/>
    <d v="2025-02-05T00:00:00"/>
    <x v="3"/>
    <x v="2"/>
    <x v="0"/>
    <x v="0"/>
    <x v="3"/>
    <x v="3"/>
    <x v="5"/>
    <x v="3"/>
  </r>
  <r>
    <x v="819"/>
    <x v="4"/>
    <x v="13"/>
    <n v="44"/>
    <n v="264"/>
    <x v="34"/>
    <d v="2025-02-05T00:00:00"/>
    <x v="2"/>
    <x v="0"/>
    <x v="0"/>
    <x v="0"/>
    <x v="3"/>
    <x v="3"/>
    <x v="5"/>
    <x v="2"/>
  </r>
  <r>
    <x v="820"/>
    <x v="18"/>
    <x v="1"/>
    <n v="95.7"/>
    <n v="191.4"/>
    <x v="34"/>
    <d v="2025-02-10T00:00:00"/>
    <x v="2"/>
    <x v="3"/>
    <x v="2"/>
    <x v="0"/>
    <x v="3"/>
    <x v="4"/>
    <x v="5"/>
    <x v="2"/>
  </r>
  <r>
    <x v="821"/>
    <x v="7"/>
    <x v="9"/>
    <n v="46.4"/>
    <n v="232"/>
    <x v="34"/>
    <d v="2025-02-07T00:00:00"/>
    <x v="2"/>
    <x v="0"/>
    <x v="0"/>
    <x v="0"/>
    <x v="3"/>
    <x v="2"/>
    <x v="5"/>
    <x v="2"/>
  </r>
  <r>
    <x v="822"/>
    <x v="6"/>
    <x v="1"/>
    <n v="47.2"/>
    <n v="94.4"/>
    <x v="34"/>
    <d v="2025-02-06T00:00:00"/>
    <x v="2"/>
    <x v="0"/>
    <x v="2"/>
    <x v="0"/>
    <x v="3"/>
    <x v="1"/>
    <x v="5"/>
    <x v="2"/>
  </r>
  <r>
    <x v="823"/>
    <x v="7"/>
    <x v="1"/>
    <n v="58.6"/>
    <n v="117.2"/>
    <x v="34"/>
    <d v="2025-02-05T00:00:00"/>
    <x v="2"/>
    <x v="2"/>
    <x v="1"/>
    <x v="0"/>
    <x v="3"/>
    <x v="3"/>
    <x v="5"/>
    <x v="2"/>
  </r>
  <r>
    <x v="824"/>
    <x v="4"/>
    <x v="2"/>
    <n v="57"/>
    <n v="171"/>
    <x v="34"/>
    <d v="2025-02-05T00:00:00"/>
    <x v="1"/>
    <x v="0"/>
    <x v="2"/>
    <x v="0"/>
    <x v="3"/>
    <x v="3"/>
    <x v="5"/>
    <x v="1"/>
  </r>
  <r>
    <x v="825"/>
    <x v="8"/>
    <x v="12"/>
    <n v="28.9"/>
    <n v="115.6"/>
    <x v="34"/>
    <d v="2025-02-08T00:00:00"/>
    <x v="1"/>
    <x v="2"/>
    <x v="0"/>
    <x v="0"/>
    <x v="3"/>
    <x v="5"/>
    <x v="5"/>
    <x v="1"/>
  </r>
  <r>
    <x v="826"/>
    <x v="12"/>
    <x v="9"/>
    <n v="60.7"/>
    <n v="303.5"/>
    <x v="34"/>
    <d v="2025-02-08T00:00:00"/>
    <x v="0"/>
    <x v="1"/>
    <x v="1"/>
    <x v="0"/>
    <x v="3"/>
    <x v="5"/>
    <x v="5"/>
    <x v="0"/>
  </r>
  <r>
    <x v="827"/>
    <x v="6"/>
    <x v="9"/>
    <n v="60.8"/>
    <n v="304"/>
    <x v="34"/>
    <d v="2025-02-08T00:00:00"/>
    <x v="1"/>
    <x v="0"/>
    <x v="1"/>
    <x v="0"/>
    <x v="3"/>
    <x v="5"/>
    <x v="5"/>
    <x v="1"/>
  </r>
  <r>
    <x v="828"/>
    <x v="6"/>
    <x v="9"/>
    <n v="64.599999999999994"/>
    <n v="323"/>
    <x v="34"/>
    <d v="2025-02-05T00:00:00"/>
    <x v="2"/>
    <x v="3"/>
    <x v="0"/>
    <x v="0"/>
    <x v="3"/>
    <x v="3"/>
    <x v="5"/>
    <x v="2"/>
  </r>
  <r>
    <x v="829"/>
    <x v="8"/>
    <x v="0"/>
    <n v="21.9"/>
    <n v="21.9"/>
    <x v="34"/>
    <d v="2025-02-07T00:00:00"/>
    <x v="1"/>
    <x v="1"/>
    <x v="2"/>
    <x v="0"/>
    <x v="4"/>
    <x v="2"/>
    <x v="5"/>
    <x v="1"/>
  </r>
  <r>
    <x v="830"/>
    <x v="4"/>
    <x v="4"/>
    <n v="33.4"/>
    <n v="400.79999999999995"/>
    <x v="34"/>
    <d v="2025-02-06T00:00:00"/>
    <x v="2"/>
    <x v="0"/>
    <x v="0"/>
    <x v="0"/>
    <x v="23"/>
    <x v="1"/>
    <x v="5"/>
    <x v="2"/>
  </r>
  <r>
    <x v="831"/>
    <x v="2"/>
    <x v="0"/>
    <n v="51.7"/>
    <n v="51.7"/>
    <x v="34"/>
    <d v="2025-02-05T00:00:00"/>
    <x v="0"/>
    <x v="0"/>
    <x v="0"/>
    <x v="0"/>
    <x v="6"/>
    <x v="3"/>
    <x v="5"/>
    <x v="0"/>
  </r>
  <r>
    <x v="832"/>
    <x v="1"/>
    <x v="12"/>
    <n v="84.9"/>
    <n v="339.6"/>
    <x v="34"/>
    <d v="2025-02-05T00:00:00"/>
    <x v="2"/>
    <x v="1"/>
    <x v="1"/>
    <x v="0"/>
    <x v="6"/>
    <x v="3"/>
    <x v="5"/>
    <x v="2"/>
  </r>
  <r>
    <x v="833"/>
    <x v="1"/>
    <x v="5"/>
    <n v="62.3"/>
    <n v="685.3"/>
    <x v="34"/>
    <d v="2025-02-05T00:00:00"/>
    <x v="2"/>
    <x v="2"/>
    <x v="2"/>
    <x v="0"/>
    <x v="7"/>
    <x v="3"/>
    <x v="5"/>
    <x v="2"/>
  </r>
  <r>
    <x v="834"/>
    <x v="4"/>
    <x v="0"/>
    <n v="50.7"/>
    <n v="50.7"/>
    <x v="34"/>
    <d v="2025-02-06T00:00:00"/>
    <x v="1"/>
    <x v="2"/>
    <x v="2"/>
    <x v="0"/>
    <x v="8"/>
    <x v="1"/>
    <x v="5"/>
    <x v="1"/>
  </r>
  <r>
    <x v="835"/>
    <x v="18"/>
    <x v="0"/>
    <n v="39.5"/>
    <n v="39.5"/>
    <x v="34"/>
    <d v="2025-02-05T00:00:00"/>
    <x v="1"/>
    <x v="4"/>
    <x v="1"/>
    <x v="0"/>
    <x v="8"/>
    <x v="3"/>
    <x v="5"/>
    <x v="1"/>
  </r>
  <r>
    <x v="836"/>
    <x v="12"/>
    <x v="2"/>
    <n v="30.9"/>
    <n v="92.699999999999989"/>
    <x v="34"/>
    <d v="2025-02-05T00:00:00"/>
    <x v="0"/>
    <x v="4"/>
    <x v="2"/>
    <x v="0"/>
    <x v="8"/>
    <x v="3"/>
    <x v="5"/>
    <x v="0"/>
  </r>
  <r>
    <x v="837"/>
    <x v="1"/>
    <x v="3"/>
    <n v="36.4"/>
    <n v="254.79999999999998"/>
    <x v="34"/>
    <d v="2025-02-07T00:00:00"/>
    <x v="2"/>
    <x v="0"/>
    <x v="2"/>
    <x v="0"/>
    <x v="8"/>
    <x v="2"/>
    <x v="5"/>
    <x v="2"/>
  </r>
  <r>
    <x v="838"/>
    <x v="6"/>
    <x v="8"/>
    <n v="105.6"/>
    <n v="844.8"/>
    <x v="34"/>
    <d v="2025-02-14T00:00:00"/>
    <x v="2"/>
    <x v="0"/>
    <x v="0"/>
    <x v="0"/>
    <x v="8"/>
    <x v="14"/>
    <x v="5"/>
    <x v="2"/>
  </r>
  <r>
    <x v="839"/>
    <x v="8"/>
    <x v="1"/>
    <n v="22.1"/>
    <n v="44.2"/>
    <x v="34"/>
    <d v="2025-02-05T00:00:00"/>
    <x v="2"/>
    <x v="0"/>
    <x v="2"/>
    <x v="0"/>
    <x v="17"/>
    <x v="3"/>
    <x v="5"/>
    <x v="2"/>
  </r>
  <r>
    <x v="840"/>
    <x v="0"/>
    <x v="2"/>
    <n v="22.6"/>
    <n v="67.800000000000011"/>
    <x v="34"/>
    <d v="2025-02-05T00:00:00"/>
    <x v="2"/>
    <x v="2"/>
    <x v="0"/>
    <x v="0"/>
    <x v="17"/>
    <x v="3"/>
    <x v="5"/>
    <x v="2"/>
  </r>
  <r>
    <x v="841"/>
    <x v="10"/>
    <x v="13"/>
    <n v="26.3"/>
    <n v="157.80000000000001"/>
    <x v="34"/>
    <d v="2025-02-04T00:00:00"/>
    <x v="2"/>
    <x v="2"/>
    <x v="0"/>
    <x v="0"/>
    <x v="9"/>
    <x v="7"/>
    <x v="5"/>
    <x v="2"/>
  </r>
  <r>
    <x v="842"/>
    <x v="1"/>
    <x v="12"/>
    <n v="37.799999999999997"/>
    <n v="151.19999999999999"/>
    <x v="34"/>
    <d v="2025-02-05T00:00:00"/>
    <x v="2"/>
    <x v="0"/>
    <x v="2"/>
    <x v="0"/>
    <x v="11"/>
    <x v="3"/>
    <x v="5"/>
    <x v="2"/>
  </r>
  <r>
    <x v="843"/>
    <x v="6"/>
    <x v="14"/>
    <n v="96"/>
    <n v="1632"/>
    <x v="34"/>
    <d v="2025-02-07T00:00:00"/>
    <x v="2"/>
    <x v="4"/>
    <x v="1"/>
    <x v="0"/>
    <x v="18"/>
    <x v="2"/>
    <x v="5"/>
    <x v="2"/>
  </r>
  <r>
    <x v="844"/>
    <x v="1"/>
    <x v="0"/>
    <n v="83.6"/>
    <n v="83.6"/>
    <x v="34"/>
    <d v="2025-02-07T00:00:00"/>
    <x v="2"/>
    <x v="2"/>
    <x v="1"/>
    <x v="0"/>
    <x v="19"/>
    <x v="2"/>
    <x v="5"/>
    <x v="2"/>
  </r>
  <r>
    <x v="845"/>
    <x v="2"/>
    <x v="13"/>
    <n v="72.599999999999994"/>
    <n v="435.59999999999997"/>
    <x v="34"/>
    <d v="2025-02-05T00:00:00"/>
    <x v="2"/>
    <x v="0"/>
    <x v="0"/>
    <x v="0"/>
    <x v="21"/>
    <x v="3"/>
    <x v="5"/>
    <x v="2"/>
  </r>
  <r>
    <x v="846"/>
    <x v="5"/>
    <x v="28"/>
    <n v="69.099999999999994"/>
    <n v="1382"/>
    <x v="35"/>
    <d v="2025-02-11T00:00:00"/>
    <x v="1"/>
    <x v="0"/>
    <x v="2"/>
    <x v="0"/>
    <x v="21"/>
    <x v="4"/>
    <x v="5"/>
    <x v="1"/>
  </r>
  <r>
    <x v="847"/>
    <x v="4"/>
    <x v="1"/>
    <n v="22.6"/>
    <n v="45.2"/>
    <x v="35"/>
    <d v="2025-02-07T00:00:00"/>
    <x v="2"/>
    <x v="1"/>
    <x v="2"/>
    <x v="0"/>
    <x v="21"/>
    <x v="1"/>
    <x v="5"/>
    <x v="2"/>
  </r>
  <r>
    <x v="848"/>
    <x v="6"/>
    <x v="1"/>
    <n v="45.3"/>
    <n v="90.6"/>
    <x v="35"/>
    <d v="2025-02-09T00:00:00"/>
    <x v="1"/>
    <x v="4"/>
    <x v="2"/>
    <x v="0"/>
    <x v="21"/>
    <x v="5"/>
    <x v="5"/>
    <x v="1"/>
  </r>
  <r>
    <x v="849"/>
    <x v="2"/>
    <x v="1"/>
    <n v="115.1"/>
    <n v="230.2"/>
    <x v="35"/>
    <d v="2025-02-06T00:00:00"/>
    <x v="2"/>
    <x v="1"/>
    <x v="0"/>
    <x v="0"/>
    <x v="1"/>
    <x v="3"/>
    <x v="5"/>
    <x v="2"/>
  </r>
  <r>
    <x v="850"/>
    <x v="18"/>
    <x v="12"/>
    <n v="79"/>
    <n v="316"/>
    <x v="35"/>
    <d v="2025-02-07T00:00:00"/>
    <x v="1"/>
    <x v="2"/>
    <x v="4"/>
    <x v="0"/>
    <x v="1"/>
    <x v="1"/>
    <x v="5"/>
    <x v="1"/>
  </r>
  <r>
    <x v="851"/>
    <x v="6"/>
    <x v="9"/>
    <n v="52.8"/>
    <n v="264"/>
    <x v="35"/>
    <d v="2025-02-06T00:00:00"/>
    <x v="2"/>
    <x v="0"/>
    <x v="0"/>
    <x v="0"/>
    <x v="42"/>
    <x v="3"/>
    <x v="5"/>
    <x v="2"/>
  </r>
  <r>
    <x v="852"/>
    <x v="8"/>
    <x v="1"/>
    <n v="34.1"/>
    <n v="68.2"/>
    <x v="35"/>
    <d v="2025-02-06T00:00:00"/>
    <x v="1"/>
    <x v="3"/>
    <x v="2"/>
    <x v="0"/>
    <x v="44"/>
    <x v="3"/>
    <x v="5"/>
    <x v="1"/>
  </r>
  <r>
    <x v="853"/>
    <x v="6"/>
    <x v="9"/>
    <n v="107.9"/>
    <n v="539.5"/>
    <x v="35"/>
    <d v="2025-02-05T00:00:00"/>
    <x v="2"/>
    <x v="0"/>
    <x v="2"/>
    <x v="0"/>
    <x v="50"/>
    <x v="7"/>
    <x v="5"/>
    <x v="2"/>
  </r>
  <r>
    <x v="854"/>
    <x v="8"/>
    <x v="15"/>
    <n v="48.5"/>
    <n v="630.5"/>
    <x v="35"/>
    <d v="2025-02-05T00:00:00"/>
    <x v="1"/>
    <x v="2"/>
    <x v="2"/>
    <x v="0"/>
    <x v="3"/>
    <x v="7"/>
    <x v="5"/>
    <x v="1"/>
  </r>
  <r>
    <x v="855"/>
    <x v="5"/>
    <x v="2"/>
    <n v="34.700000000000003"/>
    <n v="104.10000000000001"/>
    <x v="35"/>
    <d v="2025-02-06T00:00:00"/>
    <x v="0"/>
    <x v="4"/>
    <x v="1"/>
    <x v="0"/>
    <x v="3"/>
    <x v="3"/>
    <x v="5"/>
    <x v="0"/>
  </r>
  <r>
    <x v="856"/>
    <x v="8"/>
    <x v="0"/>
    <n v="16.8"/>
    <n v="16.8"/>
    <x v="35"/>
    <d v="2025-02-07T00:00:00"/>
    <x v="2"/>
    <x v="3"/>
    <x v="0"/>
    <x v="0"/>
    <x v="3"/>
    <x v="1"/>
    <x v="5"/>
    <x v="2"/>
  </r>
  <r>
    <x v="857"/>
    <x v="8"/>
    <x v="13"/>
    <n v="18.3"/>
    <n v="109.80000000000001"/>
    <x v="35"/>
    <d v="2025-02-08T00:00:00"/>
    <x v="2"/>
    <x v="0"/>
    <x v="0"/>
    <x v="0"/>
    <x v="3"/>
    <x v="2"/>
    <x v="5"/>
    <x v="2"/>
  </r>
  <r>
    <x v="858"/>
    <x v="18"/>
    <x v="2"/>
    <n v="55.9"/>
    <n v="167.7"/>
    <x v="35"/>
    <d v="2025-02-11T00:00:00"/>
    <x v="1"/>
    <x v="3"/>
    <x v="1"/>
    <x v="0"/>
    <x v="3"/>
    <x v="4"/>
    <x v="5"/>
    <x v="1"/>
  </r>
  <r>
    <x v="859"/>
    <x v="8"/>
    <x v="2"/>
    <n v="39.200000000000003"/>
    <n v="117.60000000000001"/>
    <x v="35"/>
    <d v="2025-02-07T00:00:00"/>
    <x v="2"/>
    <x v="0"/>
    <x v="1"/>
    <x v="0"/>
    <x v="3"/>
    <x v="1"/>
    <x v="5"/>
    <x v="2"/>
  </r>
  <r>
    <x v="860"/>
    <x v="15"/>
    <x v="12"/>
    <n v="66.5"/>
    <n v="266"/>
    <x v="35"/>
    <d v="2025-02-07T00:00:00"/>
    <x v="0"/>
    <x v="3"/>
    <x v="1"/>
    <x v="0"/>
    <x v="3"/>
    <x v="1"/>
    <x v="5"/>
    <x v="0"/>
  </r>
  <r>
    <x v="861"/>
    <x v="6"/>
    <x v="13"/>
    <n v="52.1"/>
    <n v="312.60000000000002"/>
    <x v="35"/>
    <d v="2025-02-07T00:00:00"/>
    <x v="1"/>
    <x v="1"/>
    <x v="1"/>
    <x v="0"/>
    <x v="16"/>
    <x v="1"/>
    <x v="5"/>
    <x v="1"/>
  </r>
  <r>
    <x v="862"/>
    <x v="8"/>
    <x v="1"/>
    <n v="19"/>
    <n v="38"/>
    <x v="35"/>
    <d v="2025-02-06T00:00:00"/>
    <x v="1"/>
    <x v="4"/>
    <x v="2"/>
    <x v="0"/>
    <x v="6"/>
    <x v="3"/>
    <x v="5"/>
    <x v="1"/>
  </r>
  <r>
    <x v="863"/>
    <x v="7"/>
    <x v="2"/>
    <n v="84.8"/>
    <n v="254.39999999999998"/>
    <x v="35"/>
    <d v="2025-02-07T00:00:00"/>
    <x v="2"/>
    <x v="2"/>
    <x v="0"/>
    <x v="0"/>
    <x v="8"/>
    <x v="1"/>
    <x v="5"/>
    <x v="2"/>
  </r>
  <r>
    <x v="864"/>
    <x v="2"/>
    <x v="12"/>
    <n v="63.9"/>
    <n v="255.6"/>
    <x v="35"/>
    <d v="2025-02-08T00:00:00"/>
    <x v="2"/>
    <x v="0"/>
    <x v="0"/>
    <x v="0"/>
    <x v="8"/>
    <x v="2"/>
    <x v="5"/>
    <x v="2"/>
  </r>
  <r>
    <x v="865"/>
    <x v="2"/>
    <x v="2"/>
    <n v="65.5"/>
    <n v="196.5"/>
    <x v="35"/>
    <d v="2025-02-05T00:00:00"/>
    <x v="2"/>
    <x v="1"/>
    <x v="1"/>
    <x v="0"/>
    <x v="8"/>
    <x v="7"/>
    <x v="5"/>
    <x v="2"/>
  </r>
  <r>
    <x v="866"/>
    <x v="12"/>
    <x v="1"/>
    <n v="116.2"/>
    <n v="232.4"/>
    <x v="35"/>
    <d v="2025-02-11T00:00:00"/>
    <x v="1"/>
    <x v="3"/>
    <x v="0"/>
    <x v="0"/>
    <x v="17"/>
    <x v="4"/>
    <x v="5"/>
    <x v="1"/>
  </r>
  <r>
    <x v="867"/>
    <x v="10"/>
    <x v="12"/>
    <n v="22.9"/>
    <n v="91.6"/>
    <x v="35"/>
    <d v="2025-02-07T00:00:00"/>
    <x v="2"/>
    <x v="2"/>
    <x v="1"/>
    <x v="0"/>
    <x v="38"/>
    <x v="1"/>
    <x v="5"/>
    <x v="2"/>
  </r>
  <r>
    <x v="868"/>
    <x v="10"/>
    <x v="2"/>
    <n v="53.7"/>
    <n v="161.10000000000002"/>
    <x v="35"/>
    <d v="2025-02-06T00:00:00"/>
    <x v="1"/>
    <x v="0"/>
    <x v="4"/>
    <x v="0"/>
    <x v="18"/>
    <x v="3"/>
    <x v="5"/>
    <x v="1"/>
  </r>
  <r>
    <x v="869"/>
    <x v="6"/>
    <x v="9"/>
    <n v="43.2"/>
    <n v="216"/>
    <x v="35"/>
    <d v="2025-02-07T00:00:00"/>
    <x v="2"/>
    <x v="0"/>
    <x v="0"/>
    <x v="0"/>
    <x v="19"/>
    <x v="1"/>
    <x v="5"/>
    <x v="2"/>
  </r>
  <r>
    <x v="870"/>
    <x v="1"/>
    <x v="2"/>
    <n v="84.5"/>
    <n v="253.5"/>
    <x v="35"/>
    <d v="2025-02-07T00:00:00"/>
    <x v="1"/>
    <x v="2"/>
    <x v="2"/>
    <x v="0"/>
    <x v="51"/>
    <x v="1"/>
    <x v="5"/>
    <x v="1"/>
  </r>
  <r>
    <x v="871"/>
    <x v="3"/>
    <x v="1"/>
    <n v="42.2"/>
    <n v="84.4"/>
    <x v="35"/>
    <d v="2025-02-06T00:00:00"/>
    <x v="2"/>
    <x v="1"/>
    <x v="2"/>
    <x v="0"/>
    <x v="1"/>
    <x v="3"/>
    <x v="5"/>
    <x v="2"/>
  </r>
  <r>
    <x v="872"/>
    <x v="2"/>
    <x v="13"/>
    <n v="94.7"/>
    <n v="568.20000000000005"/>
    <x v="35"/>
    <d v="2025-02-08T00:00:00"/>
    <x v="2"/>
    <x v="1"/>
    <x v="2"/>
    <x v="0"/>
    <x v="2"/>
    <x v="2"/>
    <x v="5"/>
    <x v="2"/>
  </r>
  <r>
    <x v="873"/>
    <x v="8"/>
    <x v="16"/>
    <n v="16.7"/>
    <n v="300.59999999999997"/>
    <x v="35"/>
    <d v="2025-02-17T00:00:00"/>
    <x v="2"/>
    <x v="0"/>
    <x v="2"/>
    <x v="0"/>
    <x v="2"/>
    <x v="13"/>
    <x v="5"/>
    <x v="2"/>
  </r>
  <r>
    <x v="874"/>
    <x v="2"/>
    <x v="1"/>
    <n v="83.6"/>
    <n v="167.2"/>
    <x v="35"/>
    <d v="2025-02-11T00:00:00"/>
    <x v="2"/>
    <x v="1"/>
    <x v="0"/>
    <x v="0"/>
    <x v="3"/>
    <x v="4"/>
    <x v="5"/>
    <x v="2"/>
  </r>
  <r>
    <x v="875"/>
    <x v="7"/>
    <x v="13"/>
    <n v="33.6"/>
    <n v="201.60000000000002"/>
    <x v="36"/>
    <d v="2025-02-07T00:00:00"/>
    <x v="2"/>
    <x v="3"/>
    <x v="0"/>
    <x v="0"/>
    <x v="3"/>
    <x v="3"/>
    <x v="5"/>
    <x v="2"/>
  </r>
  <r>
    <x v="876"/>
    <x v="7"/>
    <x v="1"/>
    <n v="64.7"/>
    <n v="129.4"/>
    <x v="36"/>
    <d v="2025-02-08T00:00:00"/>
    <x v="1"/>
    <x v="1"/>
    <x v="2"/>
    <x v="0"/>
    <x v="3"/>
    <x v="1"/>
    <x v="5"/>
    <x v="1"/>
  </r>
  <r>
    <x v="877"/>
    <x v="0"/>
    <x v="2"/>
    <n v="15.7"/>
    <n v="47.099999999999994"/>
    <x v="36"/>
    <d v="2025-02-12T00:00:00"/>
    <x v="2"/>
    <x v="0"/>
    <x v="0"/>
    <x v="0"/>
    <x v="3"/>
    <x v="4"/>
    <x v="5"/>
    <x v="2"/>
  </r>
  <r>
    <x v="878"/>
    <x v="15"/>
    <x v="13"/>
    <n v="49.4"/>
    <n v="296.39999999999998"/>
    <x v="36"/>
    <d v="2025-02-06T00:00:00"/>
    <x v="1"/>
    <x v="1"/>
    <x v="0"/>
    <x v="0"/>
    <x v="3"/>
    <x v="7"/>
    <x v="5"/>
    <x v="1"/>
  </r>
  <r>
    <x v="879"/>
    <x v="10"/>
    <x v="13"/>
    <n v="37"/>
    <n v="222"/>
    <x v="36"/>
    <d v="2025-02-09T00:00:00"/>
    <x v="2"/>
    <x v="1"/>
    <x v="2"/>
    <x v="0"/>
    <x v="3"/>
    <x v="2"/>
    <x v="5"/>
    <x v="2"/>
  </r>
  <r>
    <x v="880"/>
    <x v="2"/>
    <x v="1"/>
    <n v="83.7"/>
    <n v="167.4"/>
    <x v="36"/>
    <d v="2025-02-08T00:00:00"/>
    <x v="2"/>
    <x v="3"/>
    <x v="2"/>
    <x v="0"/>
    <x v="3"/>
    <x v="1"/>
    <x v="5"/>
    <x v="2"/>
  </r>
  <r>
    <x v="881"/>
    <x v="1"/>
    <x v="9"/>
    <n v="35.1"/>
    <n v="175.5"/>
    <x v="36"/>
    <d v="2025-02-07T00:00:00"/>
    <x v="2"/>
    <x v="0"/>
    <x v="0"/>
    <x v="0"/>
    <x v="3"/>
    <x v="3"/>
    <x v="5"/>
    <x v="2"/>
  </r>
  <r>
    <x v="882"/>
    <x v="16"/>
    <x v="8"/>
    <n v="74"/>
    <n v="592"/>
    <x v="36"/>
    <d v="2025-02-07T00:00:00"/>
    <x v="2"/>
    <x v="4"/>
    <x v="0"/>
    <x v="0"/>
    <x v="37"/>
    <x v="3"/>
    <x v="5"/>
    <x v="2"/>
  </r>
  <r>
    <x v="883"/>
    <x v="6"/>
    <x v="25"/>
    <n v="55.5"/>
    <n v="1332"/>
    <x v="36"/>
    <d v="2025-02-09T00:00:00"/>
    <x v="1"/>
    <x v="3"/>
    <x v="0"/>
    <x v="0"/>
    <x v="49"/>
    <x v="2"/>
    <x v="5"/>
    <x v="1"/>
  </r>
  <r>
    <x v="884"/>
    <x v="11"/>
    <x v="1"/>
    <n v="38.9"/>
    <n v="77.8"/>
    <x v="36"/>
    <d v="2025-02-08T00:00:00"/>
    <x v="2"/>
    <x v="1"/>
    <x v="2"/>
    <x v="0"/>
    <x v="25"/>
    <x v="1"/>
    <x v="5"/>
    <x v="2"/>
  </r>
  <r>
    <x v="885"/>
    <x v="16"/>
    <x v="1"/>
    <n v="64.599999999999994"/>
    <n v="129.19999999999999"/>
    <x v="36"/>
    <d v="2025-02-13T00:00:00"/>
    <x v="1"/>
    <x v="2"/>
    <x v="1"/>
    <x v="0"/>
    <x v="25"/>
    <x v="6"/>
    <x v="5"/>
    <x v="1"/>
  </r>
  <r>
    <x v="886"/>
    <x v="2"/>
    <x v="2"/>
    <n v="95.3"/>
    <n v="285.89999999999998"/>
    <x v="36"/>
    <d v="2025-02-07T00:00:00"/>
    <x v="1"/>
    <x v="0"/>
    <x v="0"/>
    <x v="0"/>
    <x v="5"/>
    <x v="3"/>
    <x v="5"/>
    <x v="1"/>
  </r>
  <r>
    <x v="887"/>
    <x v="13"/>
    <x v="2"/>
    <n v="25.8"/>
    <n v="77.400000000000006"/>
    <x v="36"/>
    <d v="2025-02-07T00:00:00"/>
    <x v="2"/>
    <x v="1"/>
    <x v="1"/>
    <x v="0"/>
    <x v="6"/>
    <x v="3"/>
    <x v="5"/>
    <x v="2"/>
  </r>
  <r>
    <x v="888"/>
    <x v="0"/>
    <x v="1"/>
    <n v="11.6"/>
    <n v="23.2"/>
    <x v="36"/>
    <d v="2025-02-10T00:00:00"/>
    <x v="2"/>
    <x v="1"/>
    <x v="1"/>
    <x v="0"/>
    <x v="6"/>
    <x v="5"/>
    <x v="5"/>
    <x v="2"/>
  </r>
  <r>
    <x v="889"/>
    <x v="7"/>
    <x v="0"/>
    <n v="52.3"/>
    <n v="52.3"/>
    <x v="36"/>
    <d v="2025-02-07T00:00:00"/>
    <x v="2"/>
    <x v="1"/>
    <x v="0"/>
    <x v="0"/>
    <x v="8"/>
    <x v="3"/>
    <x v="5"/>
    <x v="2"/>
  </r>
  <r>
    <x v="890"/>
    <x v="2"/>
    <x v="7"/>
    <n v="112.2"/>
    <n v="1122"/>
    <x v="36"/>
    <d v="2025-02-07T00:00:00"/>
    <x v="2"/>
    <x v="1"/>
    <x v="1"/>
    <x v="0"/>
    <x v="8"/>
    <x v="3"/>
    <x v="5"/>
    <x v="2"/>
  </r>
  <r>
    <x v="891"/>
    <x v="4"/>
    <x v="9"/>
    <n v="34.6"/>
    <n v="173"/>
    <x v="36"/>
    <d v="2025-02-08T00:00:00"/>
    <x v="1"/>
    <x v="2"/>
    <x v="0"/>
    <x v="0"/>
    <x v="8"/>
    <x v="1"/>
    <x v="5"/>
    <x v="1"/>
  </r>
  <r>
    <x v="892"/>
    <x v="14"/>
    <x v="12"/>
    <n v="20.100000000000001"/>
    <n v="80.400000000000006"/>
    <x v="36"/>
    <d v="2025-02-12T00:00:00"/>
    <x v="1"/>
    <x v="1"/>
    <x v="2"/>
    <x v="0"/>
    <x v="8"/>
    <x v="4"/>
    <x v="5"/>
    <x v="1"/>
  </r>
  <r>
    <x v="893"/>
    <x v="2"/>
    <x v="12"/>
    <n v="56.4"/>
    <n v="225.6"/>
    <x v="36"/>
    <d v="2025-02-08T00:00:00"/>
    <x v="2"/>
    <x v="2"/>
    <x v="0"/>
    <x v="0"/>
    <x v="10"/>
    <x v="1"/>
    <x v="5"/>
    <x v="2"/>
  </r>
  <r>
    <x v="894"/>
    <x v="13"/>
    <x v="11"/>
    <n v="55.3"/>
    <n v="497.7"/>
    <x v="36"/>
    <d v="2025-02-08T00:00:00"/>
    <x v="2"/>
    <x v="1"/>
    <x v="4"/>
    <x v="0"/>
    <x v="11"/>
    <x v="1"/>
    <x v="5"/>
    <x v="2"/>
  </r>
  <r>
    <x v="895"/>
    <x v="2"/>
    <x v="31"/>
    <n v="75.5"/>
    <n v="2114"/>
    <x v="36"/>
    <d v="2025-02-07T00:00:00"/>
    <x v="2"/>
    <x v="0"/>
    <x v="0"/>
    <x v="0"/>
    <x v="11"/>
    <x v="3"/>
    <x v="5"/>
    <x v="2"/>
  </r>
  <r>
    <x v="896"/>
    <x v="8"/>
    <x v="0"/>
    <n v="23.6"/>
    <n v="23.6"/>
    <x v="36"/>
    <d v="2025-02-11T00:00:00"/>
    <x v="2"/>
    <x v="0"/>
    <x v="0"/>
    <x v="0"/>
    <x v="19"/>
    <x v="0"/>
    <x v="5"/>
    <x v="2"/>
  </r>
  <r>
    <x v="897"/>
    <x v="9"/>
    <x v="1"/>
    <n v="70.7"/>
    <n v="141.4"/>
    <x v="36"/>
    <d v="2025-02-08T00:00:00"/>
    <x v="2"/>
    <x v="2"/>
    <x v="0"/>
    <x v="0"/>
    <x v="19"/>
    <x v="1"/>
    <x v="5"/>
    <x v="2"/>
  </r>
  <r>
    <x v="898"/>
    <x v="12"/>
    <x v="1"/>
    <n v="43.2"/>
    <n v="86.4"/>
    <x v="36"/>
    <d v="2025-02-07T00:00:00"/>
    <x v="2"/>
    <x v="2"/>
    <x v="0"/>
    <x v="0"/>
    <x v="31"/>
    <x v="3"/>
    <x v="5"/>
    <x v="2"/>
  </r>
  <r>
    <x v="899"/>
    <x v="9"/>
    <x v="11"/>
    <n v="70"/>
    <n v="630"/>
    <x v="36"/>
    <d v="2025-02-07T00:00:00"/>
    <x v="0"/>
    <x v="1"/>
    <x v="0"/>
    <x v="0"/>
    <x v="52"/>
    <x v="3"/>
    <x v="5"/>
    <x v="0"/>
  </r>
  <r>
    <x v="900"/>
    <x v="0"/>
    <x v="1"/>
    <n v="20.5"/>
    <n v="41"/>
    <x v="36"/>
    <d v="2025-02-08T00:00:00"/>
    <x v="2"/>
    <x v="2"/>
    <x v="4"/>
    <x v="0"/>
    <x v="13"/>
    <x v="1"/>
    <x v="5"/>
    <x v="2"/>
  </r>
  <r>
    <x v="901"/>
    <x v="0"/>
    <x v="12"/>
    <n v="29.1"/>
    <n v="116.4"/>
    <x v="36"/>
    <d v="2025-02-07T00:00:00"/>
    <x v="2"/>
    <x v="3"/>
    <x v="0"/>
    <x v="0"/>
    <x v="28"/>
    <x v="3"/>
    <x v="5"/>
    <x v="2"/>
  </r>
  <r>
    <x v="902"/>
    <x v="6"/>
    <x v="11"/>
    <n v="53.6"/>
    <n v="482.40000000000003"/>
    <x v="36"/>
    <d v="2025-02-07T00:00:00"/>
    <x v="1"/>
    <x v="2"/>
    <x v="1"/>
    <x v="0"/>
    <x v="3"/>
    <x v="3"/>
    <x v="5"/>
    <x v="1"/>
  </r>
  <r>
    <x v="903"/>
    <x v="6"/>
    <x v="9"/>
    <n v="72.3"/>
    <n v="361.5"/>
    <x v="36"/>
    <d v="2025-02-08T00:00:00"/>
    <x v="2"/>
    <x v="1"/>
    <x v="0"/>
    <x v="0"/>
    <x v="3"/>
    <x v="1"/>
    <x v="5"/>
    <x v="2"/>
  </r>
  <r>
    <x v="904"/>
    <x v="13"/>
    <x v="12"/>
    <n v="22.6"/>
    <n v="90.4"/>
    <x v="36"/>
    <d v="2025-02-09T00:00:00"/>
    <x v="3"/>
    <x v="0"/>
    <x v="1"/>
    <x v="0"/>
    <x v="3"/>
    <x v="2"/>
    <x v="5"/>
    <x v="3"/>
  </r>
  <r>
    <x v="905"/>
    <x v="9"/>
    <x v="1"/>
    <n v="44.2"/>
    <n v="88.4"/>
    <x v="36"/>
    <d v="2025-02-10T00:00:00"/>
    <x v="0"/>
    <x v="2"/>
    <x v="4"/>
    <x v="0"/>
    <x v="3"/>
    <x v="5"/>
    <x v="5"/>
    <x v="0"/>
  </r>
  <r>
    <x v="906"/>
    <x v="9"/>
    <x v="2"/>
    <n v="94.1"/>
    <n v="282.29999999999995"/>
    <x v="36"/>
    <d v="2025-02-19T00:00:00"/>
    <x v="2"/>
    <x v="2"/>
    <x v="2"/>
    <x v="0"/>
    <x v="3"/>
    <x v="10"/>
    <x v="5"/>
    <x v="2"/>
  </r>
  <r>
    <x v="907"/>
    <x v="8"/>
    <x v="2"/>
    <n v="17.899999999999999"/>
    <n v="53.699999999999996"/>
    <x v="36"/>
    <d v="2025-02-08T00:00:00"/>
    <x v="1"/>
    <x v="1"/>
    <x v="1"/>
    <x v="0"/>
    <x v="3"/>
    <x v="1"/>
    <x v="5"/>
    <x v="1"/>
  </r>
  <r>
    <x v="908"/>
    <x v="12"/>
    <x v="3"/>
    <n v="52.7"/>
    <n v="368.90000000000003"/>
    <x v="36"/>
    <d v="2025-02-07T00:00:00"/>
    <x v="1"/>
    <x v="1"/>
    <x v="1"/>
    <x v="0"/>
    <x v="3"/>
    <x v="3"/>
    <x v="5"/>
    <x v="1"/>
  </r>
  <r>
    <x v="909"/>
    <x v="8"/>
    <x v="0"/>
    <n v="36.799999999999997"/>
    <n v="36.799999999999997"/>
    <x v="36"/>
    <d v="2025-02-06T00:00:00"/>
    <x v="0"/>
    <x v="0"/>
    <x v="2"/>
    <x v="0"/>
    <x v="3"/>
    <x v="7"/>
    <x v="5"/>
    <x v="0"/>
  </r>
  <r>
    <x v="910"/>
    <x v="4"/>
    <x v="0"/>
    <n v="52.5"/>
    <n v="52.5"/>
    <x v="36"/>
    <d v="2025-02-07T00:00:00"/>
    <x v="1"/>
    <x v="0"/>
    <x v="1"/>
    <x v="0"/>
    <x v="6"/>
    <x v="3"/>
    <x v="5"/>
    <x v="1"/>
  </r>
  <r>
    <x v="911"/>
    <x v="2"/>
    <x v="1"/>
    <n v="133.80000000000001"/>
    <n v="267.60000000000002"/>
    <x v="36"/>
    <d v="2025-02-08T00:00:00"/>
    <x v="1"/>
    <x v="0"/>
    <x v="1"/>
    <x v="0"/>
    <x v="7"/>
    <x v="1"/>
    <x v="5"/>
    <x v="1"/>
  </r>
  <r>
    <x v="912"/>
    <x v="6"/>
    <x v="1"/>
    <n v="53.2"/>
    <n v="106.4"/>
    <x v="36"/>
    <d v="2025-02-08T00:00:00"/>
    <x v="1"/>
    <x v="0"/>
    <x v="0"/>
    <x v="0"/>
    <x v="17"/>
    <x v="1"/>
    <x v="5"/>
    <x v="1"/>
  </r>
  <r>
    <x v="913"/>
    <x v="14"/>
    <x v="13"/>
    <n v="18.7"/>
    <n v="112.19999999999999"/>
    <x v="36"/>
    <d v="2025-02-08T00:00:00"/>
    <x v="0"/>
    <x v="0"/>
    <x v="1"/>
    <x v="0"/>
    <x v="10"/>
    <x v="1"/>
    <x v="5"/>
    <x v="0"/>
  </r>
  <r>
    <x v="914"/>
    <x v="6"/>
    <x v="12"/>
    <n v="108.8"/>
    <n v="435.2"/>
    <x v="36"/>
    <d v="2025-02-07T00:00:00"/>
    <x v="2"/>
    <x v="3"/>
    <x v="2"/>
    <x v="0"/>
    <x v="11"/>
    <x v="3"/>
    <x v="5"/>
    <x v="2"/>
  </r>
  <r>
    <x v="915"/>
    <x v="15"/>
    <x v="9"/>
    <n v="38.5"/>
    <n v="192.5"/>
    <x v="36"/>
    <d v="2025-02-10T00:00:00"/>
    <x v="2"/>
    <x v="0"/>
    <x v="1"/>
    <x v="0"/>
    <x v="14"/>
    <x v="5"/>
    <x v="5"/>
    <x v="2"/>
  </r>
  <r>
    <x v="916"/>
    <x v="10"/>
    <x v="7"/>
    <n v="46.5"/>
    <n v="465"/>
    <x v="36"/>
    <d v="2025-02-08T00:00:00"/>
    <x v="1"/>
    <x v="2"/>
    <x v="1"/>
    <x v="0"/>
    <x v="2"/>
    <x v="1"/>
    <x v="5"/>
    <x v="1"/>
  </r>
  <r>
    <x v="917"/>
    <x v="2"/>
    <x v="2"/>
    <n v="75.8"/>
    <n v="227.39999999999998"/>
    <x v="36"/>
    <d v="2025-02-10T00:00:00"/>
    <x v="2"/>
    <x v="1"/>
    <x v="4"/>
    <x v="0"/>
    <x v="44"/>
    <x v="5"/>
    <x v="5"/>
    <x v="2"/>
  </r>
  <r>
    <x v="918"/>
    <x v="8"/>
    <x v="0"/>
    <n v="20.9"/>
    <n v="20.9"/>
    <x v="36"/>
    <d v="2025-02-10T00:00:00"/>
    <x v="1"/>
    <x v="0"/>
    <x v="0"/>
    <x v="0"/>
    <x v="22"/>
    <x v="5"/>
    <x v="5"/>
    <x v="1"/>
  </r>
  <r>
    <x v="919"/>
    <x v="18"/>
    <x v="2"/>
    <n v="47.4"/>
    <n v="142.19999999999999"/>
    <x v="36"/>
    <d v="2025-02-09T00:00:00"/>
    <x v="2"/>
    <x v="0"/>
    <x v="0"/>
    <x v="0"/>
    <x v="3"/>
    <x v="2"/>
    <x v="5"/>
    <x v="2"/>
  </r>
  <r>
    <x v="920"/>
    <x v="9"/>
    <x v="1"/>
    <n v="53.8"/>
    <n v="107.6"/>
    <x v="36"/>
    <d v="2025-02-07T00:00:00"/>
    <x v="0"/>
    <x v="0"/>
    <x v="1"/>
    <x v="0"/>
    <x v="3"/>
    <x v="3"/>
    <x v="5"/>
    <x v="0"/>
  </r>
  <r>
    <x v="921"/>
    <x v="8"/>
    <x v="2"/>
    <n v="24.6"/>
    <n v="73.800000000000011"/>
    <x v="36"/>
    <d v="2025-02-08T00:00:00"/>
    <x v="3"/>
    <x v="1"/>
    <x v="2"/>
    <x v="0"/>
    <x v="3"/>
    <x v="1"/>
    <x v="5"/>
    <x v="3"/>
  </r>
  <r>
    <x v="922"/>
    <x v="9"/>
    <x v="2"/>
    <n v="70.900000000000006"/>
    <n v="212.70000000000002"/>
    <x v="36"/>
    <d v="2025-02-11T00:00:00"/>
    <x v="2"/>
    <x v="2"/>
    <x v="2"/>
    <x v="0"/>
    <x v="3"/>
    <x v="0"/>
    <x v="5"/>
    <x v="2"/>
  </r>
  <r>
    <x v="923"/>
    <x v="17"/>
    <x v="2"/>
    <n v="31.9"/>
    <n v="95.699999999999989"/>
    <x v="36"/>
    <d v="2025-02-08T00:00:00"/>
    <x v="2"/>
    <x v="2"/>
    <x v="2"/>
    <x v="0"/>
    <x v="3"/>
    <x v="1"/>
    <x v="5"/>
    <x v="2"/>
  </r>
  <r>
    <x v="924"/>
    <x v="0"/>
    <x v="1"/>
    <n v="20.399999999999999"/>
    <n v="40.799999999999997"/>
    <x v="36"/>
    <d v="2025-02-10T00:00:00"/>
    <x v="1"/>
    <x v="3"/>
    <x v="2"/>
    <x v="0"/>
    <x v="3"/>
    <x v="5"/>
    <x v="5"/>
    <x v="1"/>
  </r>
  <r>
    <x v="925"/>
    <x v="8"/>
    <x v="1"/>
    <n v="18.600000000000001"/>
    <n v="37.200000000000003"/>
    <x v="36"/>
    <d v="2025-02-08T00:00:00"/>
    <x v="0"/>
    <x v="0"/>
    <x v="1"/>
    <x v="0"/>
    <x v="3"/>
    <x v="1"/>
    <x v="5"/>
    <x v="0"/>
  </r>
  <r>
    <x v="926"/>
    <x v="4"/>
    <x v="9"/>
    <n v="48.3"/>
    <n v="241.5"/>
    <x v="36"/>
    <d v="2025-02-08T00:00:00"/>
    <x v="2"/>
    <x v="1"/>
    <x v="0"/>
    <x v="0"/>
    <x v="3"/>
    <x v="1"/>
    <x v="5"/>
    <x v="2"/>
  </r>
  <r>
    <x v="927"/>
    <x v="0"/>
    <x v="12"/>
    <n v="27.7"/>
    <n v="110.8"/>
    <x v="36"/>
    <d v="2025-02-08T00:00:00"/>
    <x v="2"/>
    <x v="0"/>
    <x v="0"/>
    <x v="0"/>
    <x v="3"/>
    <x v="1"/>
    <x v="5"/>
    <x v="2"/>
  </r>
  <r>
    <x v="928"/>
    <x v="4"/>
    <x v="9"/>
    <n v="22.5"/>
    <n v="112.5"/>
    <x v="36"/>
    <d v="2025-02-08T00:00:00"/>
    <x v="2"/>
    <x v="4"/>
    <x v="2"/>
    <x v="0"/>
    <x v="3"/>
    <x v="1"/>
    <x v="5"/>
    <x v="2"/>
  </r>
  <r>
    <x v="929"/>
    <x v="17"/>
    <x v="9"/>
    <n v="21.6"/>
    <n v="108"/>
    <x v="36"/>
    <d v="2025-02-14T00:00:00"/>
    <x v="2"/>
    <x v="0"/>
    <x v="1"/>
    <x v="0"/>
    <x v="3"/>
    <x v="9"/>
    <x v="5"/>
    <x v="2"/>
  </r>
  <r>
    <x v="930"/>
    <x v="10"/>
    <x v="3"/>
    <n v="26.3"/>
    <n v="184.1"/>
    <x v="36"/>
    <d v="2025-02-06T00:00:00"/>
    <x v="2"/>
    <x v="2"/>
    <x v="1"/>
    <x v="0"/>
    <x v="3"/>
    <x v="7"/>
    <x v="5"/>
    <x v="2"/>
  </r>
  <r>
    <x v="931"/>
    <x v="6"/>
    <x v="3"/>
    <n v="103"/>
    <n v="721"/>
    <x v="37"/>
    <d v="2025-02-08T00:00:00"/>
    <x v="1"/>
    <x v="0"/>
    <x v="2"/>
    <x v="0"/>
    <x v="6"/>
    <x v="3"/>
    <x v="5"/>
    <x v="1"/>
  </r>
  <r>
    <x v="932"/>
    <x v="5"/>
    <x v="20"/>
    <n v="46.6"/>
    <n v="699"/>
    <x v="37"/>
    <d v="2025-02-08T00:00:00"/>
    <x v="2"/>
    <x v="0"/>
    <x v="1"/>
    <x v="0"/>
    <x v="6"/>
    <x v="3"/>
    <x v="5"/>
    <x v="2"/>
  </r>
  <r>
    <x v="933"/>
    <x v="0"/>
    <x v="9"/>
    <n v="32.200000000000003"/>
    <n v="161"/>
    <x v="37"/>
    <d v="2025-02-10T00:00:00"/>
    <x v="2"/>
    <x v="0"/>
    <x v="2"/>
    <x v="0"/>
    <x v="36"/>
    <x v="2"/>
    <x v="5"/>
    <x v="2"/>
  </r>
  <r>
    <x v="934"/>
    <x v="8"/>
    <x v="2"/>
    <n v="22"/>
    <n v="66"/>
    <x v="37"/>
    <d v="2025-02-14T00:00:00"/>
    <x v="1"/>
    <x v="1"/>
    <x v="0"/>
    <x v="0"/>
    <x v="7"/>
    <x v="6"/>
    <x v="5"/>
    <x v="1"/>
  </r>
  <r>
    <x v="935"/>
    <x v="0"/>
    <x v="1"/>
    <n v="25.2"/>
    <n v="50.4"/>
    <x v="37"/>
    <d v="2025-02-11T00:00:00"/>
    <x v="2"/>
    <x v="0"/>
    <x v="0"/>
    <x v="0"/>
    <x v="7"/>
    <x v="5"/>
    <x v="5"/>
    <x v="2"/>
  </r>
  <r>
    <x v="936"/>
    <x v="1"/>
    <x v="13"/>
    <n v="68.7"/>
    <n v="412.20000000000005"/>
    <x v="37"/>
    <d v="2025-02-09T00:00:00"/>
    <x v="1"/>
    <x v="4"/>
    <x v="0"/>
    <x v="0"/>
    <x v="8"/>
    <x v="1"/>
    <x v="5"/>
    <x v="1"/>
  </r>
  <r>
    <x v="937"/>
    <x v="0"/>
    <x v="2"/>
    <n v="22.2"/>
    <n v="66.599999999999994"/>
    <x v="37"/>
    <d v="2025-02-10T00:00:00"/>
    <x v="1"/>
    <x v="2"/>
    <x v="2"/>
    <x v="0"/>
    <x v="8"/>
    <x v="2"/>
    <x v="5"/>
    <x v="1"/>
  </r>
  <r>
    <x v="938"/>
    <x v="1"/>
    <x v="3"/>
    <n v="36"/>
    <n v="252"/>
    <x v="37"/>
    <d v="2025-02-08T00:00:00"/>
    <x v="2"/>
    <x v="1"/>
    <x v="0"/>
    <x v="0"/>
    <x v="8"/>
    <x v="3"/>
    <x v="5"/>
    <x v="2"/>
  </r>
  <r>
    <x v="939"/>
    <x v="18"/>
    <x v="0"/>
    <n v="50.6"/>
    <n v="50.6"/>
    <x v="37"/>
    <d v="2025-02-09T00:00:00"/>
    <x v="2"/>
    <x v="0"/>
    <x v="1"/>
    <x v="0"/>
    <x v="8"/>
    <x v="1"/>
    <x v="5"/>
    <x v="2"/>
  </r>
  <r>
    <x v="940"/>
    <x v="15"/>
    <x v="1"/>
    <n v="44.9"/>
    <n v="89.8"/>
    <x v="37"/>
    <d v="2025-02-09T00:00:00"/>
    <x v="1"/>
    <x v="0"/>
    <x v="1"/>
    <x v="0"/>
    <x v="8"/>
    <x v="1"/>
    <x v="5"/>
    <x v="1"/>
  </r>
  <r>
    <x v="941"/>
    <x v="6"/>
    <x v="2"/>
    <n v="71.599999999999994"/>
    <n v="214.79999999999998"/>
    <x v="37"/>
    <d v="2025-02-11T00:00:00"/>
    <x v="1"/>
    <x v="1"/>
    <x v="2"/>
    <x v="0"/>
    <x v="10"/>
    <x v="5"/>
    <x v="5"/>
    <x v="1"/>
  </r>
  <r>
    <x v="942"/>
    <x v="6"/>
    <x v="13"/>
    <n v="51.5"/>
    <n v="309"/>
    <x v="37"/>
    <d v="2025-02-09T00:00:00"/>
    <x v="0"/>
    <x v="4"/>
    <x v="0"/>
    <x v="0"/>
    <x v="11"/>
    <x v="1"/>
    <x v="5"/>
    <x v="0"/>
  </r>
  <r>
    <x v="943"/>
    <x v="7"/>
    <x v="9"/>
    <n v="55.5"/>
    <n v="277.5"/>
    <x v="37"/>
    <d v="2025-02-08T00:00:00"/>
    <x v="1"/>
    <x v="1"/>
    <x v="1"/>
    <x v="0"/>
    <x v="11"/>
    <x v="3"/>
    <x v="5"/>
    <x v="1"/>
  </r>
  <r>
    <x v="944"/>
    <x v="6"/>
    <x v="0"/>
    <n v="51.7"/>
    <n v="51.7"/>
    <x v="37"/>
    <d v="2025-02-21T00:00:00"/>
    <x v="1"/>
    <x v="2"/>
    <x v="0"/>
    <x v="0"/>
    <x v="19"/>
    <x v="12"/>
    <x v="5"/>
    <x v="1"/>
  </r>
  <r>
    <x v="945"/>
    <x v="8"/>
    <x v="38"/>
    <n v="45.5"/>
    <n v="955.5"/>
    <x v="37"/>
    <d v="2025-02-08T00:00:00"/>
    <x v="2"/>
    <x v="3"/>
    <x v="2"/>
    <x v="0"/>
    <x v="19"/>
    <x v="3"/>
    <x v="5"/>
    <x v="2"/>
  </r>
  <r>
    <x v="946"/>
    <x v="8"/>
    <x v="1"/>
    <n v="33.799999999999997"/>
    <n v="67.599999999999994"/>
    <x v="37"/>
    <d v="2025-02-13T00:00:00"/>
    <x v="2"/>
    <x v="3"/>
    <x v="0"/>
    <x v="0"/>
    <x v="20"/>
    <x v="4"/>
    <x v="5"/>
    <x v="2"/>
  </r>
  <r>
    <x v="947"/>
    <x v="3"/>
    <x v="2"/>
    <n v="76.5"/>
    <n v="229.5"/>
    <x v="37"/>
    <d v="2025-02-08T00:00:00"/>
    <x v="2"/>
    <x v="0"/>
    <x v="1"/>
    <x v="0"/>
    <x v="21"/>
    <x v="3"/>
    <x v="5"/>
    <x v="2"/>
  </r>
  <r>
    <x v="948"/>
    <x v="9"/>
    <x v="2"/>
    <n v="42.6"/>
    <n v="127.80000000000001"/>
    <x v="37"/>
    <d v="2025-02-13T00:00:00"/>
    <x v="2"/>
    <x v="2"/>
    <x v="2"/>
    <x v="0"/>
    <x v="2"/>
    <x v="4"/>
    <x v="5"/>
    <x v="2"/>
  </r>
  <r>
    <x v="949"/>
    <x v="6"/>
    <x v="2"/>
    <n v="44.1"/>
    <n v="132.30000000000001"/>
    <x v="37"/>
    <d v="2025-02-09T00:00:00"/>
    <x v="2"/>
    <x v="1"/>
    <x v="1"/>
    <x v="0"/>
    <x v="22"/>
    <x v="1"/>
    <x v="5"/>
    <x v="2"/>
  </r>
  <r>
    <x v="950"/>
    <x v="8"/>
    <x v="1"/>
    <n v="40.9"/>
    <n v="81.8"/>
    <x v="37"/>
    <d v="2025-02-11T00:00:00"/>
    <x v="1"/>
    <x v="0"/>
    <x v="0"/>
    <x v="0"/>
    <x v="3"/>
    <x v="5"/>
    <x v="5"/>
    <x v="1"/>
  </r>
  <r>
    <x v="951"/>
    <x v="9"/>
    <x v="2"/>
    <n v="49.1"/>
    <n v="147.30000000000001"/>
    <x v="37"/>
    <d v="2025-02-11T00:00:00"/>
    <x v="2"/>
    <x v="3"/>
    <x v="1"/>
    <x v="0"/>
    <x v="3"/>
    <x v="5"/>
    <x v="5"/>
    <x v="2"/>
  </r>
  <r>
    <x v="952"/>
    <x v="18"/>
    <x v="0"/>
    <n v="85.3"/>
    <n v="85.3"/>
    <x v="37"/>
    <d v="2025-02-11T00:00:00"/>
    <x v="1"/>
    <x v="1"/>
    <x v="1"/>
    <x v="0"/>
    <x v="3"/>
    <x v="5"/>
    <x v="5"/>
    <x v="1"/>
  </r>
  <r>
    <x v="953"/>
    <x v="6"/>
    <x v="12"/>
    <n v="43.1"/>
    <n v="172.4"/>
    <x v="38"/>
    <d v="2025-02-11T00:00:00"/>
    <x v="1"/>
    <x v="0"/>
    <x v="0"/>
    <x v="0"/>
    <x v="3"/>
    <x v="2"/>
    <x v="5"/>
    <x v="1"/>
  </r>
  <r>
    <x v="954"/>
    <x v="4"/>
    <x v="12"/>
    <n v="46.2"/>
    <n v="184.8"/>
    <x v="38"/>
    <d v="2025-02-09T00:00:00"/>
    <x v="1"/>
    <x v="2"/>
    <x v="0"/>
    <x v="0"/>
    <x v="3"/>
    <x v="3"/>
    <x v="5"/>
    <x v="1"/>
  </r>
  <r>
    <x v="955"/>
    <x v="1"/>
    <x v="0"/>
    <n v="74.400000000000006"/>
    <n v="74.400000000000006"/>
    <x v="38"/>
    <d v="2025-02-10T00:00:00"/>
    <x v="1"/>
    <x v="4"/>
    <x v="2"/>
    <x v="0"/>
    <x v="3"/>
    <x v="1"/>
    <x v="5"/>
    <x v="1"/>
  </r>
  <r>
    <x v="956"/>
    <x v="17"/>
    <x v="1"/>
    <n v="51.2"/>
    <n v="102.4"/>
    <x v="38"/>
    <d v="2025-02-09T00:00:00"/>
    <x v="1"/>
    <x v="1"/>
    <x v="0"/>
    <x v="0"/>
    <x v="3"/>
    <x v="3"/>
    <x v="5"/>
    <x v="1"/>
  </r>
  <r>
    <x v="957"/>
    <x v="14"/>
    <x v="12"/>
    <n v="11.8"/>
    <n v="47.2"/>
    <x v="38"/>
    <d v="2025-02-08T00:00:00"/>
    <x v="1"/>
    <x v="2"/>
    <x v="0"/>
    <x v="0"/>
    <x v="3"/>
    <x v="7"/>
    <x v="5"/>
    <x v="1"/>
  </r>
  <r>
    <x v="958"/>
    <x v="10"/>
    <x v="6"/>
    <n v="40.799999999999997"/>
    <n v="1101.5999999999999"/>
    <x v="38"/>
    <d v="2025-02-09T00:00:00"/>
    <x v="2"/>
    <x v="3"/>
    <x v="2"/>
    <x v="0"/>
    <x v="3"/>
    <x v="3"/>
    <x v="5"/>
    <x v="2"/>
  </r>
  <r>
    <x v="959"/>
    <x v="8"/>
    <x v="0"/>
    <n v="24.7"/>
    <n v="24.7"/>
    <x v="38"/>
    <d v="2025-02-10T00:00:00"/>
    <x v="2"/>
    <x v="2"/>
    <x v="1"/>
    <x v="0"/>
    <x v="3"/>
    <x v="1"/>
    <x v="5"/>
    <x v="2"/>
  </r>
  <r>
    <x v="960"/>
    <x v="8"/>
    <x v="3"/>
    <n v="22.1"/>
    <n v="154.70000000000002"/>
    <x v="38"/>
    <d v="2025-02-08T00:00:00"/>
    <x v="2"/>
    <x v="2"/>
    <x v="4"/>
    <x v="0"/>
    <x v="3"/>
    <x v="7"/>
    <x v="5"/>
    <x v="2"/>
  </r>
  <r>
    <x v="961"/>
    <x v="8"/>
    <x v="0"/>
    <n v="18.100000000000001"/>
    <n v="18.100000000000001"/>
    <x v="38"/>
    <d v="2025-02-12T00:00:00"/>
    <x v="1"/>
    <x v="3"/>
    <x v="2"/>
    <x v="0"/>
    <x v="3"/>
    <x v="5"/>
    <x v="5"/>
    <x v="1"/>
  </r>
  <r>
    <x v="962"/>
    <x v="17"/>
    <x v="1"/>
    <n v="58.8"/>
    <n v="117.6"/>
    <x v="38"/>
    <d v="2025-02-11T00:00:00"/>
    <x v="2"/>
    <x v="0"/>
    <x v="0"/>
    <x v="0"/>
    <x v="25"/>
    <x v="2"/>
    <x v="5"/>
    <x v="2"/>
  </r>
  <r>
    <x v="963"/>
    <x v="18"/>
    <x v="1"/>
    <n v="30.8"/>
    <n v="61.6"/>
    <x v="38"/>
    <d v="2025-02-09T00:00:00"/>
    <x v="2"/>
    <x v="0"/>
    <x v="0"/>
    <x v="0"/>
    <x v="6"/>
    <x v="3"/>
    <x v="5"/>
    <x v="2"/>
  </r>
  <r>
    <x v="964"/>
    <x v="0"/>
    <x v="1"/>
    <n v="12"/>
    <n v="24"/>
    <x v="38"/>
    <d v="2025-02-12T00:00:00"/>
    <x v="2"/>
    <x v="0"/>
    <x v="0"/>
    <x v="0"/>
    <x v="6"/>
    <x v="5"/>
    <x v="5"/>
    <x v="2"/>
  </r>
  <r>
    <x v="965"/>
    <x v="0"/>
    <x v="12"/>
    <n v="13.6"/>
    <n v="54.4"/>
    <x v="38"/>
    <d v="2025-02-11T00:00:00"/>
    <x v="1"/>
    <x v="2"/>
    <x v="0"/>
    <x v="0"/>
    <x v="6"/>
    <x v="2"/>
    <x v="5"/>
    <x v="1"/>
  </r>
  <r>
    <x v="966"/>
    <x v="0"/>
    <x v="0"/>
    <n v="17.899999999999999"/>
    <n v="17.899999999999999"/>
    <x v="38"/>
    <d v="2025-02-09T00:00:00"/>
    <x v="1"/>
    <x v="3"/>
    <x v="0"/>
    <x v="0"/>
    <x v="6"/>
    <x v="3"/>
    <x v="5"/>
    <x v="1"/>
  </r>
  <r>
    <x v="967"/>
    <x v="9"/>
    <x v="1"/>
    <n v="38.6"/>
    <n v="77.2"/>
    <x v="38"/>
    <d v="2025-02-12T00:00:00"/>
    <x v="2"/>
    <x v="4"/>
    <x v="0"/>
    <x v="0"/>
    <x v="7"/>
    <x v="5"/>
    <x v="5"/>
    <x v="2"/>
  </r>
  <r>
    <x v="968"/>
    <x v="5"/>
    <x v="9"/>
    <n v="32.700000000000003"/>
    <n v="163.5"/>
    <x v="38"/>
    <d v="2025-02-09T00:00:00"/>
    <x v="1"/>
    <x v="2"/>
    <x v="2"/>
    <x v="0"/>
    <x v="8"/>
    <x v="3"/>
    <x v="5"/>
    <x v="1"/>
  </r>
  <r>
    <x v="969"/>
    <x v="3"/>
    <x v="1"/>
    <n v="111.4"/>
    <n v="222.8"/>
    <x v="38"/>
    <d v="2025-02-09T00:00:00"/>
    <x v="2"/>
    <x v="1"/>
    <x v="0"/>
    <x v="0"/>
    <x v="8"/>
    <x v="3"/>
    <x v="5"/>
    <x v="2"/>
  </r>
  <r>
    <x v="970"/>
    <x v="2"/>
    <x v="13"/>
    <n v="80.3"/>
    <n v="481.79999999999995"/>
    <x v="38"/>
    <d v="2025-02-10T00:00:00"/>
    <x v="2"/>
    <x v="1"/>
    <x v="0"/>
    <x v="0"/>
    <x v="8"/>
    <x v="1"/>
    <x v="5"/>
    <x v="2"/>
  </r>
  <r>
    <x v="971"/>
    <x v="6"/>
    <x v="1"/>
    <n v="58.9"/>
    <n v="117.8"/>
    <x v="38"/>
    <d v="2025-02-09T00:00:00"/>
    <x v="1"/>
    <x v="1"/>
    <x v="0"/>
    <x v="0"/>
    <x v="8"/>
    <x v="3"/>
    <x v="5"/>
    <x v="1"/>
  </r>
  <r>
    <x v="972"/>
    <x v="6"/>
    <x v="2"/>
    <n v="51.9"/>
    <n v="155.69999999999999"/>
    <x v="38"/>
    <d v="2025-02-10T00:00:00"/>
    <x v="2"/>
    <x v="1"/>
    <x v="4"/>
    <x v="0"/>
    <x v="8"/>
    <x v="1"/>
    <x v="5"/>
    <x v="2"/>
  </r>
  <r>
    <x v="973"/>
    <x v="2"/>
    <x v="2"/>
    <n v="50.3"/>
    <n v="150.89999999999998"/>
    <x v="38"/>
    <d v="2025-02-09T00:00:00"/>
    <x v="1"/>
    <x v="2"/>
    <x v="0"/>
    <x v="0"/>
    <x v="17"/>
    <x v="3"/>
    <x v="5"/>
    <x v="1"/>
  </r>
  <r>
    <x v="974"/>
    <x v="11"/>
    <x v="13"/>
    <n v="45"/>
    <n v="270"/>
    <x v="38"/>
    <d v="2025-02-14T00:00:00"/>
    <x v="2"/>
    <x v="3"/>
    <x v="0"/>
    <x v="0"/>
    <x v="9"/>
    <x v="4"/>
    <x v="5"/>
    <x v="2"/>
  </r>
  <r>
    <x v="975"/>
    <x v="10"/>
    <x v="13"/>
    <n v="44.7"/>
    <n v="268.20000000000005"/>
    <x v="38"/>
    <d v="2025-02-10T00:00:00"/>
    <x v="2"/>
    <x v="2"/>
    <x v="0"/>
    <x v="0"/>
    <x v="11"/>
    <x v="1"/>
    <x v="5"/>
    <x v="2"/>
  </r>
  <r>
    <x v="976"/>
    <x v="18"/>
    <x v="20"/>
    <n v="33"/>
    <n v="495"/>
    <x v="38"/>
    <d v="2025-02-09T00:00:00"/>
    <x v="2"/>
    <x v="2"/>
    <x v="0"/>
    <x v="0"/>
    <x v="11"/>
    <x v="3"/>
    <x v="5"/>
    <x v="2"/>
  </r>
  <r>
    <x v="977"/>
    <x v="1"/>
    <x v="9"/>
    <n v="44.9"/>
    <n v="224.5"/>
    <x v="38"/>
    <d v="2025-02-11T00:00:00"/>
    <x v="2"/>
    <x v="2"/>
    <x v="2"/>
    <x v="0"/>
    <x v="18"/>
    <x v="2"/>
    <x v="5"/>
    <x v="2"/>
  </r>
  <r>
    <x v="978"/>
    <x v="10"/>
    <x v="1"/>
    <n v="34.6"/>
    <n v="69.2"/>
    <x v="38"/>
    <d v="2025-02-12T00:00:00"/>
    <x v="2"/>
    <x v="0"/>
    <x v="1"/>
    <x v="0"/>
    <x v="19"/>
    <x v="5"/>
    <x v="5"/>
    <x v="2"/>
  </r>
  <r>
    <x v="979"/>
    <x v="7"/>
    <x v="3"/>
    <n v="47.1"/>
    <n v="329.7"/>
    <x v="38"/>
    <d v="2025-02-13T00:00:00"/>
    <x v="2"/>
    <x v="0"/>
    <x v="0"/>
    <x v="0"/>
    <x v="13"/>
    <x v="0"/>
    <x v="5"/>
    <x v="2"/>
  </r>
  <r>
    <x v="980"/>
    <x v="4"/>
    <x v="9"/>
    <n v="26.1"/>
    <n v="130.5"/>
    <x v="38"/>
    <d v="2025-02-13T00:00:00"/>
    <x v="1"/>
    <x v="0"/>
    <x v="2"/>
    <x v="0"/>
    <x v="21"/>
    <x v="0"/>
    <x v="5"/>
    <x v="1"/>
  </r>
  <r>
    <x v="981"/>
    <x v="12"/>
    <x v="9"/>
    <n v="66.8"/>
    <n v="334"/>
    <x v="38"/>
    <d v="2025-02-11T00:00:00"/>
    <x v="2"/>
    <x v="0"/>
    <x v="0"/>
    <x v="0"/>
    <x v="21"/>
    <x v="2"/>
    <x v="5"/>
    <x v="2"/>
  </r>
  <r>
    <x v="982"/>
    <x v="2"/>
    <x v="1"/>
    <n v="167.9"/>
    <n v="335.8"/>
    <x v="38"/>
    <d v="2025-02-09T00:00:00"/>
    <x v="2"/>
    <x v="3"/>
    <x v="2"/>
    <x v="0"/>
    <x v="21"/>
    <x v="3"/>
    <x v="5"/>
    <x v="2"/>
  </r>
  <r>
    <x v="983"/>
    <x v="10"/>
    <x v="11"/>
    <n v="34.6"/>
    <n v="311.40000000000003"/>
    <x v="38"/>
    <d v="2025-02-09T00:00:00"/>
    <x v="2"/>
    <x v="2"/>
    <x v="1"/>
    <x v="0"/>
    <x v="21"/>
    <x v="3"/>
    <x v="5"/>
    <x v="2"/>
  </r>
  <r>
    <x v="984"/>
    <x v="8"/>
    <x v="2"/>
    <n v="35.1"/>
    <n v="105.30000000000001"/>
    <x v="39"/>
    <d v="2025-02-13T00:00:00"/>
    <x v="1"/>
    <x v="4"/>
    <x v="2"/>
    <x v="0"/>
    <x v="1"/>
    <x v="5"/>
    <x v="6"/>
    <x v="1"/>
  </r>
  <r>
    <x v="985"/>
    <x v="6"/>
    <x v="12"/>
    <n v="104.5"/>
    <n v="418"/>
    <x v="39"/>
    <d v="2025-02-10T00:00:00"/>
    <x v="1"/>
    <x v="1"/>
    <x v="1"/>
    <x v="0"/>
    <x v="1"/>
    <x v="3"/>
    <x v="6"/>
    <x v="1"/>
  </r>
  <r>
    <x v="986"/>
    <x v="8"/>
    <x v="0"/>
    <n v="37.9"/>
    <n v="37.9"/>
    <x v="39"/>
    <d v="2025-02-11T00:00:00"/>
    <x v="0"/>
    <x v="1"/>
    <x v="2"/>
    <x v="0"/>
    <x v="2"/>
    <x v="1"/>
    <x v="6"/>
    <x v="0"/>
  </r>
  <r>
    <x v="987"/>
    <x v="4"/>
    <x v="2"/>
    <n v="25.5"/>
    <n v="76.5"/>
    <x v="39"/>
    <d v="2025-02-12T00:00:00"/>
    <x v="1"/>
    <x v="3"/>
    <x v="0"/>
    <x v="0"/>
    <x v="2"/>
    <x v="2"/>
    <x v="6"/>
    <x v="1"/>
  </r>
  <r>
    <x v="988"/>
    <x v="0"/>
    <x v="2"/>
    <n v="32"/>
    <n v="96"/>
    <x v="39"/>
    <d v="2025-02-13T00:00:00"/>
    <x v="2"/>
    <x v="1"/>
    <x v="0"/>
    <x v="0"/>
    <x v="22"/>
    <x v="5"/>
    <x v="6"/>
    <x v="2"/>
  </r>
  <r>
    <x v="989"/>
    <x v="1"/>
    <x v="0"/>
    <n v="47.1"/>
    <n v="47.1"/>
    <x v="39"/>
    <d v="2025-02-10T00:00:00"/>
    <x v="2"/>
    <x v="0"/>
    <x v="0"/>
    <x v="0"/>
    <x v="34"/>
    <x v="3"/>
    <x v="6"/>
    <x v="2"/>
  </r>
  <r>
    <x v="990"/>
    <x v="6"/>
    <x v="1"/>
    <n v="50.6"/>
    <n v="101.2"/>
    <x v="39"/>
    <d v="2025-02-15T00:00:00"/>
    <x v="0"/>
    <x v="0"/>
    <x v="0"/>
    <x v="0"/>
    <x v="3"/>
    <x v="4"/>
    <x v="6"/>
    <x v="0"/>
  </r>
  <r>
    <x v="991"/>
    <x v="6"/>
    <x v="9"/>
    <n v="81.7"/>
    <n v="408.5"/>
    <x v="39"/>
    <d v="2025-02-10T00:00:00"/>
    <x v="2"/>
    <x v="1"/>
    <x v="2"/>
    <x v="0"/>
    <x v="3"/>
    <x v="3"/>
    <x v="6"/>
    <x v="2"/>
  </r>
  <r>
    <x v="992"/>
    <x v="5"/>
    <x v="1"/>
    <n v="50.7"/>
    <n v="101.4"/>
    <x v="39"/>
    <d v="2025-02-10T00:00:00"/>
    <x v="3"/>
    <x v="2"/>
    <x v="2"/>
    <x v="0"/>
    <x v="3"/>
    <x v="3"/>
    <x v="6"/>
    <x v="3"/>
  </r>
  <r>
    <x v="993"/>
    <x v="2"/>
    <x v="10"/>
    <n v="67.3"/>
    <n v="1278.7"/>
    <x v="39"/>
    <d v="2025-02-13T00:00:00"/>
    <x v="2"/>
    <x v="2"/>
    <x v="0"/>
    <x v="0"/>
    <x v="3"/>
    <x v="5"/>
    <x v="6"/>
    <x v="2"/>
  </r>
  <r>
    <x v="994"/>
    <x v="2"/>
    <x v="12"/>
    <n v="64.8"/>
    <n v="259.2"/>
    <x v="39"/>
    <d v="2025-02-12T00:00:00"/>
    <x v="2"/>
    <x v="3"/>
    <x v="0"/>
    <x v="0"/>
    <x v="3"/>
    <x v="2"/>
    <x v="6"/>
    <x v="2"/>
  </r>
  <r>
    <x v="995"/>
    <x v="5"/>
    <x v="32"/>
    <n v="61.3"/>
    <n v="1348.6"/>
    <x v="39"/>
    <d v="2025-02-10T00:00:00"/>
    <x v="2"/>
    <x v="0"/>
    <x v="2"/>
    <x v="0"/>
    <x v="3"/>
    <x v="3"/>
    <x v="6"/>
    <x v="2"/>
  </r>
  <r>
    <x v="996"/>
    <x v="14"/>
    <x v="0"/>
    <n v="32.9"/>
    <n v="32.9"/>
    <x v="39"/>
    <d v="2025-02-12T00:00:00"/>
    <x v="2"/>
    <x v="4"/>
    <x v="0"/>
    <x v="0"/>
    <x v="3"/>
    <x v="2"/>
    <x v="6"/>
    <x v="2"/>
  </r>
  <r>
    <x v="997"/>
    <x v="6"/>
    <x v="1"/>
    <n v="100.8"/>
    <n v="201.6"/>
    <x v="39"/>
    <d v="2025-02-12T00:00:00"/>
    <x v="2"/>
    <x v="0"/>
    <x v="0"/>
    <x v="0"/>
    <x v="3"/>
    <x v="2"/>
    <x v="6"/>
    <x v="2"/>
  </r>
  <r>
    <x v="998"/>
    <x v="8"/>
    <x v="12"/>
    <n v="25.1"/>
    <n v="100.4"/>
    <x v="39"/>
    <d v="2025-02-11T00:00:00"/>
    <x v="2"/>
    <x v="1"/>
    <x v="0"/>
    <x v="0"/>
    <x v="3"/>
    <x v="1"/>
    <x v="6"/>
    <x v="2"/>
  </r>
  <r>
    <x v="999"/>
    <x v="17"/>
    <x v="0"/>
    <n v="48.5"/>
    <n v="48.5"/>
    <x v="39"/>
    <d v="2025-02-10T00:00:00"/>
    <x v="2"/>
    <x v="0"/>
    <x v="1"/>
    <x v="0"/>
    <x v="3"/>
    <x v="3"/>
    <x v="6"/>
    <x v="2"/>
  </r>
  <r>
    <x v="1000"/>
    <x v="7"/>
    <x v="1"/>
    <n v="33.6"/>
    <n v="67.2"/>
    <x v="39"/>
    <d v="2025-02-13T00:00:00"/>
    <x v="2"/>
    <x v="2"/>
    <x v="2"/>
    <x v="0"/>
    <x v="3"/>
    <x v="5"/>
    <x v="6"/>
    <x v="2"/>
  </r>
  <r>
    <x v="1001"/>
    <x v="8"/>
    <x v="0"/>
    <n v="39.299999999999997"/>
    <n v="39.299999999999997"/>
    <x v="39"/>
    <d v="2025-02-20T00:00:00"/>
    <x v="2"/>
    <x v="1"/>
    <x v="1"/>
    <x v="0"/>
    <x v="49"/>
    <x v="11"/>
    <x v="6"/>
    <x v="2"/>
  </r>
  <r>
    <x v="1002"/>
    <x v="4"/>
    <x v="7"/>
    <n v="48.8"/>
    <n v="488"/>
    <x v="39"/>
    <d v="2025-02-11T00:00:00"/>
    <x v="2"/>
    <x v="3"/>
    <x v="1"/>
    <x v="0"/>
    <x v="25"/>
    <x v="1"/>
    <x v="6"/>
    <x v="2"/>
  </r>
  <r>
    <x v="1003"/>
    <x v="6"/>
    <x v="8"/>
    <n v="72.8"/>
    <n v="582.4"/>
    <x v="39"/>
    <d v="2025-02-11T00:00:00"/>
    <x v="1"/>
    <x v="1"/>
    <x v="2"/>
    <x v="0"/>
    <x v="5"/>
    <x v="1"/>
    <x v="6"/>
    <x v="1"/>
  </r>
  <r>
    <x v="1004"/>
    <x v="10"/>
    <x v="8"/>
    <n v="46.2"/>
    <n v="369.6"/>
    <x v="39"/>
    <d v="2025-02-10T00:00:00"/>
    <x v="1"/>
    <x v="3"/>
    <x v="4"/>
    <x v="0"/>
    <x v="5"/>
    <x v="3"/>
    <x v="6"/>
    <x v="1"/>
  </r>
  <r>
    <x v="1005"/>
    <x v="4"/>
    <x v="1"/>
    <n v="20.7"/>
    <n v="41.4"/>
    <x v="39"/>
    <d v="2025-02-10T00:00:00"/>
    <x v="2"/>
    <x v="2"/>
    <x v="3"/>
    <x v="0"/>
    <x v="6"/>
    <x v="3"/>
    <x v="6"/>
    <x v="2"/>
  </r>
  <r>
    <x v="1006"/>
    <x v="0"/>
    <x v="0"/>
    <n v="35.700000000000003"/>
    <n v="35.700000000000003"/>
    <x v="39"/>
    <d v="2025-02-11T00:00:00"/>
    <x v="2"/>
    <x v="3"/>
    <x v="0"/>
    <x v="0"/>
    <x v="6"/>
    <x v="1"/>
    <x v="6"/>
    <x v="2"/>
  </r>
  <r>
    <x v="1007"/>
    <x v="2"/>
    <x v="27"/>
    <n v="166.2"/>
    <n v="2659.2"/>
    <x v="39"/>
    <d v="2025-02-11T00:00:00"/>
    <x v="0"/>
    <x v="2"/>
    <x v="0"/>
    <x v="0"/>
    <x v="7"/>
    <x v="1"/>
    <x v="6"/>
    <x v="0"/>
  </r>
  <r>
    <x v="1008"/>
    <x v="6"/>
    <x v="12"/>
    <n v="85.8"/>
    <n v="343.2"/>
    <x v="39"/>
    <d v="2025-02-10T00:00:00"/>
    <x v="2"/>
    <x v="1"/>
    <x v="1"/>
    <x v="0"/>
    <x v="7"/>
    <x v="3"/>
    <x v="6"/>
    <x v="2"/>
  </r>
  <r>
    <x v="1009"/>
    <x v="8"/>
    <x v="2"/>
    <n v="26"/>
    <n v="78"/>
    <x v="39"/>
    <d v="2025-02-11T00:00:00"/>
    <x v="3"/>
    <x v="1"/>
    <x v="0"/>
    <x v="0"/>
    <x v="7"/>
    <x v="1"/>
    <x v="6"/>
    <x v="3"/>
  </r>
  <r>
    <x v="1010"/>
    <x v="2"/>
    <x v="15"/>
    <n v="116.6"/>
    <n v="1515.8"/>
    <x v="39"/>
    <d v="2025-02-12T00:00:00"/>
    <x v="2"/>
    <x v="0"/>
    <x v="0"/>
    <x v="0"/>
    <x v="8"/>
    <x v="2"/>
    <x v="6"/>
    <x v="2"/>
  </r>
  <r>
    <x v="1011"/>
    <x v="9"/>
    <x v="3"/>
    <n v="53.9"/>
    <n v="377.3"/>
    <x v="39"/>
    <d v="2025-02-12T00:00:00"/>
    <x v="3"/>
    <x v="0"/>
    <x v="2"/>
    <x v="0"/>
    <x v="8"/>
    <x v="2"/>
    <x v="6"/>
    <x v="3"/>
  </r>
  <r>
    <x v="1012"/>
    <x v="12"/>
    <x v="9"/>
    <n v="72.3"/>
    <n v="361.5"/>
    <x v="39"/>
    <d v="2025-02-11T00:00:00"/>
    <x v="0"/>
    <x v="2"/>
    <x v="2"/>
    <x v="0"/>
    <x v="8"/>
    <x v="1"/>
    <x v="6"/>
    <x v="0"/>
  </r>
  <r>
    <x v="1013"/>
    <x v="5"/>
    <x v="1"/>
    <n v="31.4"/>
    <n v="62.8"/>
    <x v="39"/>
    <d v="2025-02-11T00:00:00"/>
    <x v="2"/>
    <x v="0"/>
    <x v="0"/>
    <x v="0"/>
    <x v="8"/>
    <x v="1"/>
    <x v="6"/>
    <x v="2"/>
  </r>
  <r>
    <x v="1014"/>
    <x v="13"/>
    <x v="1"/>
    <n v="53.1"/>
    <n v="106.2"/>
    <x v="39"/>
    <d v="2025-02-12T00:00:00"/>
    <x v="1"/>
    <x v="1"/>
    <x v="0"/>
    <x v="0"/>
    <x v="8"/>
    <x v="2"/>
    <x v="6"/>
    <x v="1"/>
  </r>
  <r>
    <x v="1015"/>
    <x v="2"/>
    <x v="12"/>
    <n v="56.2"/>
    <n v="224.8"/>
    <x v="39"/>
    <d v="2025-02-10T00:00:00"/>
    <x v="2"/>
    <x v="0"/>
    <x v="0"/>
    <x v="0"/>
    <x v="8"/>
    <x v="3"/>
    <x v="6"/>
    <x v="2"/>
  </r>
  <r>
    <x v="1016"/>
    <x v="1"/>
    <x v="7"/>
    <n v="77.3"/>
    <n v="773"/>
    <x v="39"/>
    <d v="2025-02-10T00:00:00"/>
    <x v="2"/>
    <x v="2"/>
    <x v="0"/>
    <x v="0"/>
    <x v="11"/>
    <x v="3"/>
    <x v="6"/>
    <x v="2"/>
  </r>
  <r>
    <x v="1017"/>
    <x v="6"/>
    <x v="15"/>
    <n v="57.8"/>
    <n v="751.4"/>
    <x v="39"/>
    <d v="2025-02-10T00:00:00"/>
    <x v="0"/>
    <x v="0"/>
    <x v="0"/>
    <x v="0"/>
    <x v="53"/>
    <x v="3"/>
    <x v="6"/>
    <x v="0"/>
  </r>
  <r>
    <x v="1018"/>
    <x v="12"/>
    <x v="20"/>
    <n v="42.1"/>
    <n v="631.5"/>
    <x v="39"/>
    <d v="2025-02-11T00:00:00"/>
    <x v="2"/>
    <x v="1"/>
    <x v="1"/>
    <x v="0"/>
    <x v="53"/>
    <x v="1"/>
    <x v="6"/>
    <x v="2"/>
  </r>
  <r>
    <x v="1019"/>
    <x v="8"/>
    <x v="11"/>
    <n v="22.8"/>
    <n v="205.20000000000002"/>
    <x v="39"/>
    <d v="2025-02-13T00:00:00"/>
    <x v="1"/>
    <x v="2"/>
    <x v="2"/>
    <x v="0"/>
    <x v="19"/>
    <x v="5"/>
    <x v="6"/>
    <x v="1"/>
  </r>
  <r>
    <x v="1020"/>
    <x v="2"/>
    <x v="2"/>
    <n v="171.1"/>
    <n v="513.29999999999995"/>
    <x v="40"/>
    <d v="2025-02-17T00:00:00"/>
    <x v="2"/>
    <x v="2"/>
    <x v="1"/>
    <x v="0"/>
    <x v="19"/>
    <x v="6"/>
    <x v="6"/>
    <x v="2"/>
  </r>
  <r>
    <x v="1021"/>
    <x v="8"/>
    <x v="0"/>
    <n v="28"/>
    <n v="28"/>
    <x v="40"/>
    <d v="2025-02-12T00:00:00"/>
    <x v="1"/>
    <x v="2"/>
    <x v="2"/>
    <x v="0"/>
    <x v="21"/>
    <x v="1"/>
    <x v="6"/>
    <x v="1"/>
  </r>
  <r>
    <x v="1022"/>
    <x v="6"/>
    <x v="3"/>
    <n v="50.2"/>
    <n v="351.40000000000003"/>
    <x v="40"/>
    <d v="2025-02-12T00:00:00"/>
    <x v="1"/>
    <x v="2"/>
    <x v="0"/>
    <x v="0"/>
    <x v="21"/>
    <x v="1"/>
    <x v="6"/>
    <x v="1"/>
  </r>
  <r>
    <x v="1023"/>
    <x v="6"/>
    <x v="1"/>
    <n v="56"/>
    <n v="112"/>
    <x v="40"/>
    <d v="2025-02-10T00:00:00"/>
    <x v="1"/>
    <x v="0"/>
    <x v="2"/>
    <x v="0"/>
    <x v="22"/>
    <x v="7"/>
    <x v="6"/>
    <x v="1"/>
  </r>
  <r>
    <x v="1024"/>
    <x v="1"/>
    <x v="1"/>
    <n v="38.299999999999997"/>
    <n v="76.599999999999994"/>
    <x v="40"/>
    <d v="2025-02-11T00:00:00"/>
    <x v="2"/>
    <x v="1"/>
    <x v="0"/>
    <x v="0"/>
    <x v="3"/>
    <x v="3"/>
    <x v="6"/>
    <x v="2"/>
  </r>
  <r>
    <x v="1025"/>
    <x v="0"/>
    <x v="9"/>
    <n v="22.3"/>
    <n v="111.5"/>
    <x v="40"/>
    <d v="2025-02-14T00:00:00"/>
    <x v="2"/>
    <x v="2"/>
    <x v="1"/>
    <x v="0"/>
    <x v="3"/>
    <x v="5"/>
    <x v="6"/>
    <x v="2"/>
  </r>
  <r>
    <x v="1026"/>
    <x v="0"/>
    <x v="2"/>
    <n v="22.3"/>
    <n v="66.900000000000006"/>
    <x v="40"/>
    <d v="2025-02-13T00:00:00"/>
    <x v="2"/>
    <x v="2"/>
    <x v="0"/>
    <x v="0"/>
    <x v="3"/>
    <x v="2"/>
    <x v="6"/>
    <x v="2"/>
  </r>
  <r>
    <x v="1027"/>
    <x v="1"/>
    <x v="0"/>
    <n v="32.9"/>
    <n v="32.9"/>
    <x v="40"/>
    <d v="2025-02-15T00:00:00"/>
    <x v="2"/>
    <x v="0"/>
    <x v="0"/>
    <x v="0"/>
    <x v="3"/>
    <x v="0"/>
    <x v="6"/>
    <x v="2"/>
  </r>
  <r>
    <x v="1028"/>
    <x v="10"/>
    <x v="2"/>
    <n v="31.9"/>
    <n v="95.699999999999989"/>
    <x v="40"/>
    <d v="2025-02-15T00:00:00"/>
    <x v="2"/>
    <x v="0"/>
    <x v="0"/>
    <x v="0"/>
    <x v="3"/>
    <x v="0"/>
    <x v="6"/>
    <x v="2"/>
  </r>
  <r>
    <x v="1029"/>
    <x v="6"/>
    <x v="1"/>
    <n v="94"/>
    <n v="188"/>
    <x v="40"/>
    <d v="2025-02-11T00:00:00"/>
    <x v="1"/>
    <x v="2"/>
    <x v="2"/>
    <x v="0"/>
    <x v="3"/>
    <x v="3"/>
    <x v="6"/>
    <x v="1"/>
  </r>
  <r>
    <x v="1030"/>
    <x v="10"/>
    <x v="1"/>
    <n v="30.7"/>
    <n v="61.4"/>
    <x v="40"/>
    <d v="2025-02-11T00:00:00"/>
    <x v="2"/>
    <x v="0"/>
    <x v="1"/>
    <x v="0"/>
    <x v="3"/>
    <x v="3"/>
    <x v="6"/>
    <x v="2"/>
  </r>
  <r>
    <x v="1031"/>
    <x v="5"/>
    <x v="9"/>
    <n v="90.5"/>
    <n v="452.5"/>
    <x v="40"/>
    <d v="2025-02-17T00:00:00"/>
    <x v="1"/>
    <x v="0"/>
    <x v="2"/>
    <x v="0"/>
    <x v="3"/>
    <x v="6"/>
    <x v="6"/>
    <x v="1"/>
  </r>
  <r>
    <x v="1032"/>
    <x v="8"/>
    <x v="9"/>
    <n v="25.3"/>
    <n v="126.5"/>
    <x v="40"/>
    <d v="2025-02-14T00:00:00"/>
    <x v="2"/>
    <x v="0"/>
    <x v="2"/>
    <x v="0"/>
    <x v="3"/>
    <x v="5"/>
    <x v="6"/>
    <x v="2"/>
  </r>
  <r>
    <x v="1033"/>
    <x v="6"/>
    <x v="2"/>
    <n v="58.1"/>
    <n v="174.3"/>
    <x v="40"/>
    <d v="2025-02-14T00:00:00"/>
    <x v="0"/>
    <x v="0"/>
    <x v="2"/>
    <x v="0"/>
    <x v="3"/>
    <x v="5"/>
    <x v="6"/>
    <x v="0"/>
  </r>
  <r>
    <x v="1034"/>
    <x v="2"/>
    <x v="2"/>
    <n v="74.900000000000006"/>
    <n v="224.70000000000002"/>
    <x v="40"/>
    <d v="2025-02-11T00:00:00"/>
    <x v="2"/>
    <x v="4"/>
    <x v="0"/>
    <x v="0"/>
    <x v="3"/>
    <x v="3"/>
    <x v="6"/>
    <x v="2"/>
  </r>
  <r>
    <x v="1035"/>
    <x v="4"/>
    <x v="1"/>
    <n v="32.5"/>
    <n v="65"/>
    <x v="40"/>
    <d v="2025-02-11T00:00:00"/>
    <x v="1"/>
    <x v="2"/>
    <x v="2"/>
    <x v="0"/>
    <x v="43"/>
    <x v="3"/>
    <x v="6"/>
    <x v="1"/>
  </r>
  <r>
    <x v="1036"/>
    <x v="4"/>
    <x v="9"/>
    <n v="62"/>
    <n v="310"/>
    <x v="40"/>
    <d v="2025-02-11T00:00:00"/>
    <x v="1"/>
    <x v="4"/>
    <x v="2"/>
    <x v="0"/>
    <x v="25"/>
    <x v="3"/>
    <x v="6"/>
    <x v="1"/>
  </r>
  <r>
    <x v="1037"/>
    <x v="13"/>
    <x v="13"/>
    <n v="28.9"/>
    <n v="173.39999999999998"/>
    <x v="40"/>
    <d v="2025-02-13T00:00:00"/>
    <x v="2"/>
    <x v="0"/>
    <x v="1"/>
    <x v="0"/>
    <x v="6"/>
    <x v="2"/>
    <x v="6"/>
    <x v="2"/>
  </r>
  <r>
    <x v="1038"/>
    <x v="6"/>
    <x v="8"/>
    <n v="42.8"/>
    <n v="342.4"/>
    <x v="40"/>
    <d v="2025-02-12T00:00:00"/>
    <x v="2"/>
    <x v="0"/>
    <x v="2"/>
    <x v="0"/>
    <x v="6"/>
    <x v="1"/>
    <x v="6"/>
    <x v="2"/>
  </r>
  <r>
    <x v="1039"/>
    <x v="8"/>
    <x v="8"/>
    <n v="39.4"/>
    <n v="315.2"/>
    <x v="40"/>
    <d v="2025-02-12T00:00:00"/>
    <x v="1"/>
    <x v="0"/>
    <x v="0"/>
    <x v="0"/>
    <x v="36"/>
    <x v="1"/>
    <x v="6"/>
    <x v="1"/>
  </r>
  <r>
    <x v="1040"/>
    <x v="18"/>
    <x v="2"/>
    <n v="66.400000000000006"/>
    <n v="199.20000000000002"/>
    <x v="40"/>
    <d v="2025-02-11T00:00:00"/>
    <x v="0"/>
    <x v="2"/>
    <x v="1"/>
    <x v="0"/>
    <x v="7"/>
    <x v="3"/>
    <x v="6"/>
    <x v="0"/>
  </r>
  <r>
    <x v="1041"/>
    <x v="17"/>
    <x v="12"/>
    <n v="35.9"/>
    <n v="143.6"/>
    <x v="40"/>
    <d v="2025-02-17T00:00:00"/>
    <x v="2"/>
    <x v="1"/>
    <x v="0"/>
    <x v="0"/>
    <x v="7"/>
    <x v="6"/>
    <x v="6"/>
    <x v="2"/>
  </r>
  <r>
    <x v="1042"/>
    <x v="0"/>
    <x v="12"/>
    <n v="26.9"/>
    <n v="107.6"/>
    <x v="40"/>
    <d v="2025-02-11T00:00:00"/>
    <x v="1"/>
    <x v="1"/>
    <x v="0"/>
    <x v="0"/>
    <x v="7"/>
    <x v="3"/>
    <x v="6"/>
    <x v="1"/>
  </r>
  <r>
    <x v="1043"/>
    <x v="2"/>
    <x v="0"/>
    <n v="55.1"/>
    <n v="55.1"/>
    <x v="40"/>
    <d v="2025-02-11T00:00:00"/>
    <x v="2"/>
    <x v="0"/>
    <x v="0"/>
    <x v="0"/>
    <x v="7"/>
    <x v="3"/>
    <x v="6"/>
    <x v="2"/>
  </r>
  <r>
    <x v="1044"/>
    <x v="4"/>
    <x v="1"/>
    <n v="23.9"/>
    <n v="47.8"/>
    <x v="40"/>
    <d v="2025-02-11T00:00:00"/>
    <x v="1"/>
    <x v="0"/>
    <x v="2"/>
    <x v="0"/>
    <x v="8"/>
    <x v="3"/>
    <x v="6"/>
    <x v="1"/>
  </r>
  <r>
    <x v="1045"/>
    <x v="9"/>
    <x v="15"/>
    <n v="21.1"/>
    <n v="274.3"/>
    <x v="40"/>
    <d v="2025-02-18T00:00:00"/>
    <x v="2"/>
    <x v="0"/>
    <x v="1"/>
    <x v="0"/>
    <x v="8"/>
    <x v="9"/>
    <x v="6"/>
    <x v="2"/>
  </r>
  <r>
    <x v="1046"/>
    <x v="8"/>
    <x v="9"/>
    <n v="33.799999999999997"/>
    <n v="169"/>
    <x v="40"/>
    <d v="2025-02-12T00:00:00"/>
    <x v="2"/>
    <x v="0"/>
    <x v="0"/>
    <x v="0"/>
    <x v="8"/>
    <x v="1"/>
    <x v="6"/>
    <x v="2"/>
  </r>
  <r>
    <x v="1047"/>
    <x v="2"/>
    <x v="12"/>
    <n v="56.1"/>
    <n v="224.4"/>
    <x v="40"/>
    <d v="2025-02-10T00:00:00"/>
    <x v="2"/>
    <x v="3"/>
    <x v="2"/>
    <x v="0"/>
    <x v="9"/>
    <x v="7"/>
    <x v="6"/>
    <x v="2"/>
  </r>
  <r>
    <x v="1048"/>
    <x v="3"/>
    <x v="0"/>
    <n v="58.5"/>
    <n v="58.5"/>
    <x v="41"/>
    <d v="2025-02-15T00:00:00"/>
    <x v="2"/>
    <x v="1"/>
    <x v="2"/>
    <x v="0"/>
    <x v="9"/>
    <x v="5"/>
    <x v="6"/>
    <x v="2"/>
  </r>
  <r>
    <x v="1049"/>
    <x v="6"/>
    <x v="0"/>
    <n v="84.2"/>
    <n v="84.2"/>
    <x v="41"/>
    <d v="2025-02-13T00:00:00"/>
    <x v="1"/>
    <x v="3"/>
    <x v="0"/>
    <x v="0"/>
    <x v="11"/>
    <x v="1"/>
    <x v="6"/>
    <x v="1"/>
  </r>
  <r>
    <x v="1050"/>
    <x v="11"/>
    <x v="12"/>
    <n v="52"/>
    <n v="208"/>
    <x v="41"/>
    <d v="2025-02-14T00:00:00"/>
    <x v="1"/>
    <x v="0"/>
    <x v="0"/>
    <x v="0"/>
    <x v="11"/>
    <x v="2"/>
    <x v="6"/>
    <x v="1"/>
  </r>
  <r>
    <x v="1051"/>
    <x v="4"/>
    <x v="9"/>
    <n v="31.5"/>
    <n v="157.5"/>
    <x v="41"/>
    <d v="2025-02-12T00:00:00"/>
    <x v="2"/>
    <x v="0"/>
    <x v="2"/>
    <x v="0"/>
    <x v="11"/>
    <x v="3"/>
    <x v="6"/>
    <x v="2"/>
  </r>
  <r>
    <x v="1052"/>
    <x v="16"/>
    <x v="2"/>
    <n v="46.2"/>
    <n v="138.60000000000002"/>
    <x v="41"/>
    <d v="2025-02-12T00:00:00"/>
    <x v="1"/>
    <x v="0"/>
    <x v="0"/>
    <x v="0"/>
    <x v="53"/>
    <x v="3"/>
    <x v="6"/>
    <x v="1"/>
  </r>
  <r>
    <x v="1053"/>
    <x v="2"/>
    <x v="13"/>
    <n v="135"/>
    <n v="810"/>
    <x v="41"/>
    <d v="2025-02-12T00:00:00"/>
    <x v="2"/>
    <x v="1"/>
    <x v="2"/>
    <x v="0"/>
    <x v="18"/>
    <x v="3"/>
    <x v="6"/>
    <x v="2"/>
  </r>
  <r>
    <x v="1054"/>
    <x v="12"/>
    <x v="2"/>
    <n v="92.2"/>
    <n v="276.60000000000002"/>
    <x v="41"/>
    <d v="2025-02-15T00:00:00"/>
    <x v="1"/>
    <x v="0"/>
    <x v="0"/>
    <x v="0"/>
    <x v="21"/>
    <x v="5"/>
    <x v="6"/>
    <x v="1"/>
  </r>
  <r>
    <x v="1055"/>
    <x v="8"/>
    <x v="0"/>
    <n v="36.6"/>
    <n v="36.6"/>
    <x v="41"/>
    <d v="2025-02-13T00:00:00"/>
    <x v="1"/>
    <x v="2"/>
    <x v="2"/>
    <x v="0"/>
    <x v="21"/>
    <x v="1"/>
    <x v="6"/>
    <x v="1"/>
  </r>
  <r>
    <x v="1056"/>
    <x v="9"/>
    <x v="1"/>
    <n v="50.6"/>
    <n v="101.2"/>
    <x v="41"/>
    <d v="2025-02-14T00:00:00"/>
    <x v="2"/>
    <x v="0"/>
    <x v="0"/>
    <x v="0"/>
    <x v="2"/>
    <x v="2"/>
    <x v="6"/>
    <x v="2"/>
  </r>
  <r>
    <x v="1057"/>
    <x v="18"/>
    <x v="3"/>
    <n v="56.7"/>
    <n v="396.90000000000003"/>
    <x v="41"/>
    <d v="2025-02-14T00:00:00"/>
    <x v="2"/>
    <x v="0"/>
    <x v="0"/>
    <x v="0"/>
    <x v="2"/>
    <x v="2"/>
    <x v="6"/>
    <x v="2"/>
  </r>
  <r>
    <x v="1058"/>
    <x v="9"/>
    <x v="15"/>
    <n v="22.9"/>
    <n v="297.7"/>
    <x v="41"/>
    <d v="2025-02-12T00:00:00"/>
    <x v="2"/>
    <x v="0"/>
    <x v="1"/>
    <x v="0"/>
    <x v="44"/>
    <x v="3"/>
    <x v="6"/>
    <x v="2"/>
  </r>
  <r>
    <x v="1059"/>
    <x v="15"/>
    <x v="10"/>
    <n v="53.6"/>
    <n v="1018.4"/>
    <x v="41"/>
    <d v="2025-02-12T00:00:00"/>
    <x v="1"/>
    <x v="0"/>
    <x v="0"/>
    <x v="0"/>
    <x v="22"/>
    <x v="3"/>
    <x v="6"/>
    <x v="1"/>
  </r>
  <r>
    <x v="1060"/>
    <x v="18"/>
    <x v="1"/>
    <n v="30.2"/>
    <n v="60.4"/>
    <x v="41"/>
    <d v="2025-02-13T00:00:00"/>
    <x v="0"/>
    <x v="2"/>
    <x v="2"/>
    <x v="0"/>
    <x v="3"/>
    <x v="1"/>
    <x v="6"/>
    <x v="0"/>
  </r>
  <r>
    <x v="1061"/>
    <x v="15"/>
    <x v="13"/>
    <n v="83.4"/>
    <n v="500.40000000000003"/>
    <x v="41"/>
    <d v="2025-02-12T00:00:00"/>
    <x v="1"/>
    <x v="1"/>
    <x v="2"/>
    <x v="0"/>
    <x v="3"/>
    <x v="3"/>
    <x v="6"/>
    <x v="1"/>
  </r>
  <r>
    <x v="1062"/>
    <x v="13"/>
    <x v="4"/>
    <n v="16.600000000000001"/>
    <n v="199.20000000000002"/>
    <x v="41"/>
    <d v="2025-02-13T00:00:00"/>
    <x v="1"/>
    <x v="1"/>
    <x v="0"/>
    <x v="0"/>
    <x v="3"/>
    <x v="1"/>
    <x v="6"/>
    <x v="1"/>
  </r>
  <r>
    <x v="1063"/>
    <x v="8"/>
    <x v="14"/>
    <n v="21.9"/>
    <n v="372.29999999999995"/>
    <x v="41"/>
    <d v="2025-02-13T00:00:00"/>
    <x v="2"/>
    <x v="4"/>
    <x v="1"/>
    <x v="0"/>
    <x v="3"/>
    <x v="1"/>
    <x v="6"/>
    <x v="2"/>
  </r>
  <r>
    <x v="1064"/>
    <x v="8"/>
    <x v="31"/>
    <n v="33.799999999999997"/>
    <n v="946.39999999999986"/>
    <x v="41"/>
    <d v="2025-02-13T00:00:00"/>
    <x v="1"/>
    <x v="2"/>
    <x v="4"/>
    <x v="0"/>
    <x v="3"/>
    <x v="1"/>
    <x v="6"/>
    <x v="1"/>
  </r>
  <r>
    <x v="1065"/>
    <x v="18"/>
    <x v="1"/>
    <n v="53.2"/>
    <n v="106.4"/>
    <x v="41"/>
    <d v="2025-02-11T00:00:00"/>
    <x v="1"/>
    <x v="1"/>
    <x v="0"/>
    <x v="0"/>
    <x v="3"/>
    <x v="7"/>
    <x v="6"/>
    <x v="1"/>
  </r>
  <r>
    <x v="1066"/>
    <x v="2"/>
    <x v="1"/>
    <n v="176.7"/>
    <n v="353.4"/>
    <x v="41"/>
    <d v="2025-02-14T00:00:00"/>
    <x v="2"/>
    <x v="2"/>
    <x v="0"/>
    <x v="0"/>
    <x v="3"/>
    <x v="2"/>
    <x v="6"/>
    <x v="2"/>
  </r>
  <r>
    <x v="1067"/>
    <x v="12"/>
    <x v="2"/>
    <n v="54"/>
    <n v="162"/>
    <x v="41"/>
    <d v="2025-02-14T00:00:00"/>
    <x v="1"/>
    <x v="0"/>
    <x v="1"/>
    <x v="0"/>
    <x v="3"/>
    <x v="2"/>
    <x v="6"/>
    <x v="1"/>
  </r>
  <r>
    <x v="1068"/>
    <x v="9"/>
    <x v="1"/>
    <n v="70.099999999999994"/>
    <n v="140.19999999999999"/>
    <x v="41"/>
    <d v="2025-02-19T00:00:00"/>
    <x v="2"/>
    <x v="3"/>
    <x v="2"/>
    <x v="0"/>
    <x v="3"/>
    <x v="9"/>
    <x v="6"/>
    <x v="2"/>
  </r>
  <r>
    <x v="1069"/>
    <x v="8"/>
    <x v="0"/>
    <n v="26.5"/>
    <n v="26.5"/>
    <x v="41"/>
    <d v="2025-02-13T00:00:00"/>
    <x v="2"/>
    <x v="1"/>
    <x v="0"/>
    <x v="0"/>
    <x v="3"/>
    <x v="1"/>
    <x v="6"/>
    <x v="2"/>
  </r>
  <r>
    <x v="1070"/>
    <x v="7"/>
    <x v="9"/>
    <n v="89"/>
    <n v="445"/>
    <x v="41"/>
    <d v="2025-02-13T00:00:00"/>
    <x v="1"/>
    <x v="2"/>
    <x v="4"/>
    <x v="0"/>
    <x v="3"/>
    <x v="1"/>
    <x v="6"/>
    <x v="1"/>
  </r>
  <r>
    <x v="1071"/>
    <x v="1"/>
    <x v="13"/>
    <n v="47"/>
    <n v="282"/>
    <x v="41"/>
    <d v="2025-02-14T00:00:00"/>
    <x v="2"/>
    <x v="3"/>
    <x v="0"/>
    <x v="0"/>
    <x v="24"/>
    <x v="2"/>
    <x v="6"/>
    <x v="2"/>
  </r>
  <r>
    <x v="1072"/>
    <x v="3"/>
    <x v="1"/>
    <n v="55.2"/>
    <n v="110.4"/>
    <x v="41"/>
    <d v="2025-02-14T00:00:00"/>
    <x v="1"/>
    <x v="1"/>
    <x v="1"/>
    <x v="0"/>
    <x v="6"/>
    <x v="2"/>
    <x v="6"/>
    <x v="1"/>
  </r>
  <r>
    <x v="1073"/>
    <x v="8"/>
    <x v="39"/>
    <n v="33.299999999999997"/>
    <n v="1398.6"/>
    <x v="41"/>
    <d v="2025-02-25T00:00:00"/>
    <x v="1"/>
    <x v="1"/>
    <x v="2"/>
    <x v="0"/>
    <x v="6"/>
    <x v="12"/>
    <x v="6"/>
    <x v="1"/>
  </r>
  <r>
    <x v="1074"/>
    <x v="2"/>
    <x v="12"/>
    <n v="110.9"/>
    <n v="443.6"/>
    <x v="42"/>
    <d v="2025-02-12T00:00:00"/>
    <x v="1"/>
    <x v="2"/>
    <x v="4"/>
    <x v="0"/>
    <x v="6"/>
    <x v="7"/>
    <x v="6"/>
    <x v="1"/>
  </r>
  <r>
    <x v="1075"/>
    <x v="2"/>
    <x v="13"/>
    <n v="67.3"/>
    <n v="403.79999999999995"/>
    <x v="42"/>
    <d v="2025-02-13T00:00:00"/>
    <x v="1"/>
    <x v="0"/>
    <x v="0"/>
    <x v="0"/>
    <x v="8"/>
    <x v="3"/>
    <x v="6"/>
    <x v="1"/>
  </r>
  <r>
    <x v="1076"/>
    <x v="6"/>
    <x v="2"/>
    <n v="69.7"/>
    <n v="209.10000000000002"/>
    <x v="42"/>
    <d v="2025-02-13T00:00:00"/>
    <x v="1"/>
    <x v="2"/>
    <x v="1"/>
    <x v="0"/>
    <x v="8"/>
    <x v="3"/>
    <x v="6"/>
    <x v="1"/>
  </r>
  <r>
    <x v="1077"/>
    <x v="5"/>
    <x v="0"/>
    <n v="39.1"/>
    <n v="39.1"/>
    <x v="42"/>
    <d v="2025-02-17T00:00:00"/>
    <x v="1"/>
    <x v="0"/>
    <x v="1"/>
    <x v="0"/>
    <x v="17"/>
    <x v="0"/>
    <x v="6"/>
    <x v="1"/>
  </r>
  <r>
    <x v="1078"/>
    <x v="2"/>
    <x v="2"/>
    <n v="208.6"/>
    <n v="625.79999999999995"/>
    <x v="42"/>
    <d v="2025-02-12T00:00:00"/>
    <x v="1"/>
    <x v="4"/>
    <x v="2"/>
    <x v="0"/>
    <x v="17"/>
    <x v="7"/>
    <x v="6"/>
    <x v="1"/>
  </r>
  <r>
    <x v="1079"/>
    <x v="15"/>
    <x v="2"/>
    <n v="27.8"/>
    <n v="83.4"/>
    <x v="42"/>
    <d v="2025-02-13T00:00:00"/>
    <x v="1"/>
    <x v="3"/>
    <x v="1"/>
    <x v="0"/>
    <x v="11"/>
    <x v="3"/>
    <x v="6"/>
    <x v="1"/>
  </r>
  <r>
    <x v="1080"/>
    <x v="10"/>
    <x v="9"/>
    <n v="29.4"/>
    <n v="147"/>
    <x v="42"/>
    <d v="2025-02-14T00:00:00"/>
    <x v="2"/>
    <x v="0"/>
    <x v="0"/>
    <x v="0"/>
    <x v="11"/>
    <x v="1"/>
    <x v="6"/>
    <x v="2"/>
  </r>
  <r>
    <x v="1081"/>
    <x v="9"/>
    <x v="1"/>
    <n v="29.2"/>
    <n v="58.4"/>
    <x v="42"/>
    <d v="2025-02-14T00:00:00"/>
    <x v="2"/>
    <x v="1"/>
    <x v="2"/>
    <x v="0"/>
    <x v="20"/>
    <x v="1"/>
    <x v="6"/>
    <x v="2"/>
  </r>
  <r>
    <x v="1082"/>
    <x v="10"/>
    <x v="9"/>
    <n v="26.5"/>
    <n v="132.5"/>
    <x v="42"/>
    <d v="2025-02-14T00:00:00"/>
    <x v="2"/>
    <x v="0"/>
    <x v="0"/>
    <x v="0"/>
    <x v="52"/>
    <x v="1"/>
    <x v="6"/>
    <x v="2"/>
  </r>
  <r>
    <x v="1083"/>
    <x v="5"/>
    <x v="0"/>
    <n v="30.3"/>
    <n v="30.3"/>
    <x v="42"/>
    <d v="2025-02-13T00:00:00"/>
    <x v="2"/>
    <x v="4"/>
    <x v="1"/>
    <x v="0"/>
    <x v="13"/>
    <x v="3"/>
    <x v="6"/>
    <x v="2"/>
  </r>
  <r>
    <x v="1084"/>
    <x v="16"/>
    <x v="4"/>
    <n v="39.700000000000003"/>
    <n v="476.40000000000003"/>
    <x v="42"/>
    <d v="2025-02-13T00:00:00"/>
    <x v="2"/>
    <x v="0"/>
    <x v="0"/>
    <x v="0"/>
    <x v="21"/>
    <x v="3"/>
    <x v="6"/>
    <x v="2"/>
  </r>
  <r>
    <x v="1085"/>
    <x v="7"/>
    <x v="7"/>
    <n v="58.9"/>
    <n v="589"/>
    <x v="42"/>
    <d v="2025-02-14T00:00:00"/>
    <x v="2"/>
    <x v="1"/>
    <x v="4"/>
    <x v="0"/>
    <x v="21"/>
    <x v="1"/>
    <x v="6"/>
    <x v="2"/>
  </r>
  <r>
    <x v="1086"/>
    <x v="2"/>
    <x v="1"/>
    <n v="174.1"/>
    <n v="348.2"/>
    <x v="42"/>
    <d v="2025-02-14T00:00:00"/>
    <x v="2"/>
    <x v="0"/>
    <x v="1"/>
    <x v="0"/>
    <x v="46"/>
    <x v="1"/>
    <x v="6"/>
    <x v="2"/>
  </r>
  <r>
    <x v="1087"/>
    <x v="6"/>
    <x v="1"/>
    <n v="70.8"/>
    <n v="141.6"/>
    <x v="42"/>
    <d v="2025-02-15T00:00:00"/>
    <x v="1"/>
    <x v="2"/>
    <x v="0"/>
    <x v="0"/>
    <x v="22"/>
    <x v="2"/>
    <x v="6"/>
    <x v="1"/>
  </r>
  <r>
    <x v="1088"/>
    <x v="7"/>
    <x v="1"/>
    <n v="57.4"/>
    <n v="114.8"/>
    <x v="42"/>
    <d v="2025-02-14T00:00:00"/>
    <x v="2"/>
    <x v="1"/>
    <x v="1"/>
    <x v="0"/>
    <x v="34"/>
    <x v="1"/>
    <x v="6"/>
    <x v="2"/>
  </r>
  <r>
    <x v="1089"/>
    <x v="0"/>
    <x v="1"/>
    <n v="28.5"/>
    <n v="57"/>
    <x v="42"/>
    <d v="2025-02-14T00:00:00"/>
    <x v="1"/>
    <x v="3"/>
    <x v="1"/>
    <x v="0"/>
    <x v="3"/>
    <x v="1"/>
    <x v="6"/>
    <x v="1"/>
  </r>
  <r>
    <x v="1090"/>
    <x v="2"/>
    <x v="28"/>
    <n v="106.6"/>
    <n v="2132"/>
    <x v="42"/>
    <d v="2025-02-13T00:00:00"/>
    <x v="0"/>
    <x v="1"/>
    <x v="4"/>
    <x v="0"/>
    <x v="3"/>
    <x v="3"/>
    <x v="6"/>
    <x v="0"/>
  </r>
  <r>
    <x v="1091"/>
    <x v="2"/>
    <x v="2"/>
    <n v="119.7"/>
    <n v="359.1"/>
    <x v="42"/>
    <d v="2025-02-13T00:00:00"/>
    <x v="2"/>
    <x v="1"/>
    <x v="4"/>
    <x v="0"/>
    <x v="3"/>
    <x v="3"/>
    <x v="6"/>
    <x v="2"/>
  </r>
  <r>
    <x v="1092"/>
    <x v="18"/>
    <x v="0"/>
    <n v="73.3"/>
    <n v="73.3"/>
    <x v="42"/>
    <d v="2025-02-17T00:00:00"/>
    <x v="2"/>
    <x v="0"/>
    <x v="2"/>
    <x v="0"/>
    <x v="3"/>
    <x v="0"/>
    <x v="6"/>
    <x v="2"/>
  </r>
  <r>
    <x v="1093"/>
    <x v="0"/>
    <x v="1"/>
    <n v="25.8"/>
    <n v="51.6"/>
    <x v="42"/>
    <d v="2025-02-26T00:00:00"/>
    <x v="1"/>
    <x v="2"/>
    <x v="0"/>
    <x v="0"/>
    <x v="3"/>
    <x v="12"/>
    <x v="6"/>
    <x v="1"/>
  </r>
  <r>
    <x v="1094"/>
    <x v="17"/>
    <x v="2"/>
    <n v="49.1"/>
    <n v="147.30000000000001"/>
    <x v="42"/>
    <d v="2025-02-14T00:00:00"/>
    <x v="2"/>
    <x v="0"/>
    <x v="0"/>
    <x v="0"/>
    <x v="24"/>
    <x v="1"/>
    <x v="6"/>
    <x v="2"/>
  </r>
  <r>
    <x v="1095"/>
    <x v="1"/>
    <x v="0"/>
    <n v="44.9"/>
    <n v="44.9"/>
    <x v="42"/>
    <d v="2025-02-15T00:00:00"/>
    <x v="2"/>
    <x v="3"/>
    <x v="2"/>
    <x v="0"/>
    <x v="6"/>
    <x v="2"/>
    <x v="6"/>
    <x v="2"/>
  </r>
  <r>
    <x v="1096"/>
    <x v="15"/>
    <x v="3"/>
    <n v="29.9"/>
    <n v="209.29999999999998"/>
    <x v="42"/>
    <d v="2025-02-13T00:00:00"/>
    <x v="2"/>
    <x v="0"/>
    <x v="0"/>
    <x v="0"/>
    <x v="6"/>
    <x v="3"/>
    <x v="6"/>
    <x v="2"/>
  </r>
  <r>
    <x v="1097"/>
    <x v="7"/>
    <x v="1"/>
    <n v="54.3"/>
    <n v="108.6"/>
    <x v="43"/>
    <d v="2025-02-14T00:00:00"/>
    <x v="1"/>
    <x v="3"/>
    <x v="0"/>
    <x v="0"/>
    <x v="36"/>
    <x v="3"/>
    <x v="6"/>
    <x v="1"/>
  </r>
  <r>
    <x v="1098"/>
    <x v="9"/>
    <x v="12"/>
    <n v="57"/>
    <n v="228"/>
    <x v="43"/>
    <d v="2025-02-15T00:00:00"/>
    <x v="2"/>
    <x v="0"/>
    <x v="0"/>
    <x v="0"/>
    <x v="8"/>
    <x v="1"/>
    <x v="6"/>
    <x v="2"/>
  </r>
  <r>
    <x v="1099"/>
    <x v="2"/>
    <x v="0"/>
    <n v="139.19999999999999"/>
    <n v="139.19999999999999"/>
    <x v="43"/>
    <d v="2025-02-14T00:00:00"/>
    <x v="2"/>
    <x v="3"/>
    <x v="2"/>
    <x v="0"/>
    <x v="8"/>
    <x v="3"/>
    <x v="6"/>
    <x v="2"/>
  </r>
  <r>
    <x v="1100"/>
    <x v="10"/>
    <x v="0"/>
    <n v="33"/>
    <n v="33"/>
    <x v="43"/>
    <d v="2025-02-16T00:00:00"/>
    <x v="2"/>
    <x v="0"/>
    <x v="2"/>
    <x v="0"/>
    <x v="8"/>
    <x v="2"/>
    <x v="6"/>
    <x v="2"/>
  </r>
  <r>
    <x v="1101"/>
    <x v="11"/>
    <x v="13"/>
    <n v="80.2"/>
    <n v="481.20000000000005"/>
    <x v="43"/>
    <d v="2025-02-15T00:00:00"/>
    <x v="1"/>
    <x v="1"/>
    <x v="4"/>
    <x v="0"/>
    <x v="8"/>
    <x v="1"/>
    <x v="6"/>
    <x v="1"/>
  </r>
  <r>
    <x v="1102"/>
    <x v="18"/>
    <x v="8"/>
    <n v="49"/>
    <n v="392"/>
    <x v="43"/>
    <d v="2025-02-14T00:00:00"/>
    <x v="0"/>
    <x v="2"/>
    <x v="1"/>
    <x v="0"/>
    <x v="9"/>
    <x v="3"/>
    <x v="6"/>
    <x v="0"/>
  </r>
  <r>
    <x v="1103"/>
    <x v="1"/>
    <x v="12"/>
    <n v="104.4"/>
    <n v="417.6"/>
    <x v="43"/>
    <d v="2025-02-13T00:00:00"/>
    <x v="2"/>
    <x v="0"/>
    <x v="0"/>
    <x v="0"/>
    <x v="9"/>
    <x v="7"/>
    <x v="6"/>
    <x v="2"/>
  </r>
  <r>
    <x v="1104"/>
    <x v="3"/>
    <x v="0"/>
    <n v="41.6"/>
    <n v="41.6"/>
    <x v="43"/>
    <d v="2025-02-16T00:00:00"/>
    <x v="1"/>
    <x v="3"/>
    <x v="0"/>
    <x v="0"/>
    <x v="11"/>
    <x v="2"/>
    <x v="6"/>
    <x v="1"/>
  </r>
  <r>
    <x v="1105"/>
    <x v="19"/>
    <x v="1"/>
    <n v="16.399999999999999"/>
    <n v="32.799999999999997"/>
    <x v="43"/>
    <d v="2025-02-14T00:00:00"/>
    <x v="3"/>
    <x v="0"/>
    <x v="2"/>
    <x v="0"/>
    <x v="11"/>
    <x v="3"/>
    <x v="6"/>
    <x v="3"/>
  </r>
  <r>
    <x v="1106"/>
    <x v="8"/>
    <x v="1"/>
    <n v="22"/>
    <n v="44"/>
    <x v="43"/>
    <d v="2025-02-14T00:00:00"/>
    <x v="1"/>
    <x v="2"/>
    <x v="2"/>
    <x v="0"/>
    <x v="53"/>
    <x v="3"/>
    <x v="6"/>
    <x v="1"/>
  </r>
  <r>
    <x v="1107"/>
    <x v="15"/>
    <x v="1"/>
    <n v="33.6"/>
    <n v="67.2"/>
    <x v="43"/>
    <d v="2025-02-18T00:00:00"/>
    <x v="2"/>
    <x v="0"/>
    <x v="0"/>
    <x v="0"/>
    <x v="21"/>
    <x v="0"/>
    <x v="6"/>
    <x v="2"/>
  </r>
  <r>
    <x v="1108"/>
    <x v="11"/>
    <x v="13"/>
    <n v="43"/>
    <n v="258"/>
    <x v="43"/>
    <d v="2025-02-14T00:00:00"/>
    <x v="2"/>
    <x v="2"/>
    <x v="0"/>
    <x v="0"/>
    <x v="21"/>
    <x v="3"/>
    <x v="6"/>
    <x v="2"/>
  </r>
  <r>
    <x v="1109"/>
    <x v="6"/>
    <x v="9"/>
    <n v="108.8"/>
    <n v="544"/>
    <x v="43"/>
    <d v="2025-02-16T00:00:00"/>
    <x v="2"/>
    <x v="4"/>
    <x v="2"/>
    <x v="0"/>
    <x v="21"/>
    <x v="2"/>
    <x v="6"/>
    <x v="2"/>
  </r>
  <r>
    <x v="1110"/>
    <x v="0"/>
    <x v="11"/>
    <n v="29.3"/>
    <n v="263.7"/>
    <x v="43"/>
    <d v="2025-02-15T00:00:00"/>
    <x v="1"/>
    <x v="4"/>
    <x v="2"/>
    <x v="0"/>
    <x v="21"/>
    <x v="1"/>
    <x v="6"/>
    <x v="1"/>
  </r>
  <r>
    <x v="1111"/>
    <x v="2"/>
    <x v="0"/>
    <n v="122.7"/>
    <n v="122.7"/>
    <x v="43"/>
    <d v="2025-02-16T00:00:00"/>
    <x v="3"/>
    <x v="0"/>
    <x v="2"/>
    <x v="0"/>
    <x v="1"/>
    <x v="2"/>
    <x v="6"/>
    <x v="3"/>
  </r>
  <r>
    <x v="1112"/>
    <x v="4"/>
    <x v="3"/>
    <n v="22.9"/>
    <n v="160.29999999999998"/>
    <x v="43"/>
    <d v="2025-02-14T00:00:00"/>
    <x v="2"/>
    <x v="0"/>
    <x v="0"/>
    <x v="0"/>
    <x v="42"/>
    <x v="3"/>
    <x v="6"/>
    <x v="2"/>
  </r>
  <r>
    <x v="1113"/>
    <x v="8"/>
    <x v="7"/>
    <n v="25.5"/>
    <n v="255"/>
    <x v="43"/>
    <d v="2025-02-20T00:00:00"/>
    <x v="2"/>
    <x v="0"/>
    <x v="0"/>
    <x v="0"/>
    <x v="33"/>
    <x v="6"/>
    <x v="6"/>
    <x v="2"/>
  </r>
  <r>
    <x v="1114"/>
    <x v="17"/>
    <x v="2"/>
    <n v="23.4"/>
    <n v="70.199999999999989"/>
    <x v="43"/>
    <d v="2025-02-17T00:00:00"/>
    <x v="2"/>
    <x v="0"/>
    <x v="2"/>
    <x v="0"/>
    <x v="3"/>
    <x v="5"/>
    <x v="6"/>
    <x v="2"/>
  </r>
  <r>
    <x v="1115"/>
    <x v="5"/>
    <x v="8"/>
    <n v="27.4"/>
    <n v="219.2"/>
    <x v="43"/>
    <d v="2025-02-16T00:00:00"/>
    <x v="2"/>
    <x v="2"/>
    <x v="0"/>
    <x v="0"/>
    <x v="3"/>
    <x v="2"/>
    <x v="6"/>
    <x v="2"/>
  </r>
  <r>
    <x v="1116"/>
    <x v="5"/>
    <x v="9"/>
    <n v="68.400000000000006"/>
    <n v="342"/>
    <x v="43"/>
    <d v="2025-02-14T00:00:00"/>
    <x v="2"/>
    <x v="0"/>
    <x v="0"/>
    <x v="0"/>
    <x v="3"/>
    <x v="3"/>
    <x v="6"/>
    <x v="2"/>
  </r>
  <r>
    <x v="1117"/>
    <x v="6"/>
    <x v="0"/>
    <n v="51.9"/>
    <n v="51.9"/>
    <x v="43"/>
    <d v="2025-02-13T00:00:00"/>
    <x v="2"/>
    <x v="0"/>
    <x v="0"/>
    <x v="0"/>
    <x v="3"/>
    <x v="7"/>
    <x v="6"/>
    <x v="2"/>
  </r>
  <r>
    <x v="1118"/>
    <x v="0"/>
    <x v="9"/>
    <n v="26.4"/>
    <n v="132"/>
    <x v="43"/>
    <d v="2025-02-16T00:00:00"/>
    <x v="2"/>
    <x v="0"/>
    <x v="2"/>
    <x v="0"/>
    <x v="3"/>
    <x v="2"/>
    <x v="6"/>
    <x v="2"/>
  </r>
  <r>
    <x v="1119"/>
    <x v="12"/>
    <x v="1"/>
    <n v="117"/>
    <n v="234"/>
    <x v="43"/>
    <d v="2025-02-14T00:00:00"/>
    <x v="2"/>
    <x v="1"/>
    <x v="1"/>
    <x v="0"/>
    <x v="3"/>
    <x v="3"/>
    <x v="6"/>
    <x v="2"/>
  </r>
  <r>
    <x v="1120"/>
    <x v="7"/>
    <x v="2"/>
    <n v="49.6"/>
    <n v="148.80000000000001"/>
    <x v="44"/>
    <d v="2025-02-16T00:00:00"/>
    <x v="2"/>
    <x v="0"/>
    <x v="0"/>
    <x v="0"/>
    <x v="3"/>
    <x v="1"/>
    <x v="6"/>
    <x v="2"/>
  </r>
  <r>
    <x v="1121"/>
    <x v="4"/>
    <x v="2"/>
    <n v="38"/>
    <n v="114"/>
    <x v="44"/>
    <d v="2025-02-17T00:00:00"/>
    <x v="1"/>
    <x v="2"/>
    <x v="4"/>
    <x v="0"/>
    <x v="3"/>
    <x v="2"/>
    <x v="6"/>
    <x v="1"/>
  </r>
  <r>
    <x v="1122"/>
    <x v="0"/>
    <x v="2"/>
    <n v="20.6"/>
    <n v="61.800000000000004"/>
    <x v="44"/>
    <d v="2025-02-16T00:00:00"/>
    <x v="2"/>
    <x v="4"/>
    <x v="2"/>
    <x v="0"/>
    <x v="3"/>
    <x v="1"/>
    <x v="6"/>
    <x v="2"/>
  </r>
  <r>
    <x v="1123"/>
    <x v="0"/>
    <x v="1"/>
    <n v="16"/>
    <n v="32"/>
    <x v="44"/>
    <d v="2025-02-15T00:00:00"/>
    <x v="1"/>
    <x v="1"/>
    <x v="1"/>
    <x v="0"/>
    <x v="49"/>
    <x v="3"/>
    <x v="6"/>
    <x v="1"/>
  </r>
  <r>
    <x v="1124"/>
    <x v="15"/>
    <x v="12"/>
    <n v="49.3"/>
    <n v="197.2"/>
    <x v="44"/>
    <d v="2025-02-15T00:00:00"/>
    <x v="2"/>
    <x v="2"/>
    <x v="0"/>
    <x v="0"/>
    <x v="23"/>
    <x v="3"/>
    <x v="6"/>
    <x v="2"/>
  </r>
  <r>
    <x v="1125"/>
    <x v="9"/>
    <x v="1"/>
    <n v="24.1"/>
    <n v="48.2"/>
    <x v="44"/>
    <d v="2025-02-18T00:00:00"/>
    <x v="2"/>
    <x v="0"/>
    <x v="0"/>
    <x v="0"/>
    <x v="6"/>
    <x v="5"/>
    <x v="6"/>
    <x v="2"/>
  </r>
  <r>
    <x v="1126"/>
    <x v="15"/>
    <x v="8"/>
    <n v="32.700000000000003"/>
    <n v="261.60000000000002"/>
    <x v="44"/>
    <d v="2025-02-15T00:00:00"/>
    <x v="2"/>
    <x v="1"/>
    <x v="0"/>
    <x v="0"/>
    <x v="6"/>
    <x v="3"/>
    <x v="6"/>
    <x v="2"/>
  </r>
  <r>
    <x v="1127"/>
    <x v="6"/>
    <x v="2"/>
    <n v="74.400000000000006"/>
    <n v="223.20000000000002"/>
    <x v="44"/>
    <d v="2025-02-15T00:00:00"/>
    <x v="2"/>
    <x v="3"/>
    <x v="2"/>
    <x v="0"/>
    <x v="8"/>
    <x v="3"/>
    <x v="6"/>
    <x v="2"/>
  </r>
  <r>
    <x v="1128"/>
    <x v="12"/>
    <x v="0"/>
    <n v="45.6"/>
    <n v="45.6"/>
    <x v="44"/>
    <d v="2025-02-18T00:00:00"/>
    <x v="2"/>
    <x v="4"/>
    <x v="0"/>
    <x v="0"/>
    <x v="8"/>
    <x v="5"/>
    <x v="6"/>
    <x v="2"/>
  </r>
  <r>
    <x v="1129"/>
    <x v="8"/>
    <x v="8"/>
    <n v="19.600000000000001"/>
    <n v="156.80000000000001"/>
    <x v="44"/>
    <d v="2025-02-27T00:00:00"/>
    <x v="2"/>
    <x v="0"/>
    <x v="0"/>
    <x v="0"/>
    <x v="8"/>
    <x v="10"/>
    <x v="6"/>
    <x v="2"/>
  </r>
  <r>
    <x v="1130"/>
    <x v="9"/>
    <x v="0"/>
    <n v="51.8"/>
    <n v="51.8"/>
    <x v="44"/>
    <d v="2025-02-15T00:00:00"/>
    <x v="2"/>
    <x v="1"/>
    <x v="0"/>
    <x v="0"/>
    <x v="8"/>
    <x v="3"/>
    <x v="6"/>
    <x v="2"/>
  </r>
  <r>
    <x v="1131"/>
    <x v="6"/>
    <x v="0"/>
    <n v="74.7"/>
    <n v="74.7"/>
    <x v="44"/>
    <d v="2025-02-15T00:00:00"/>
    <x v="1"/>
    <x v="0"/>
    <x v="1"/>
    <x v="0"/>
    <x v="8"/>
    <x v="3"/>
    <x v="6"/>
    <x v="1"/>
  </r>
  <r>
    <x v="1132"/>
    <x v="19"/>
    <x v="2"/>
    <n v="22.4"/>
    <n v="67.199999999999989"/>
    <x v="44"/>
    <d v="2025-02-15T00:00:00"/>
    <x v="2"/>
    <x v="1"/>
    <x v="2"/>
    <x v="0"/>
    <x v="9"/>
    <x v="3"/>
    <x v="6"/>
    <x v="2"/>
  </r>
  <r>
    <x v="1133"/>
    <x v="1"/>
    <x v="12"/>
    <n v="31.4"/>
    <n v="125.6"/>
    <x v="44"/>
    <d v="2025-02-15T00:00:00"/>
    <x v="2"/>
    <x v="1"/>
    <x v="0"/>
    <x v="0"/>
    <x v="9"/>
    <x v="3"/>
    <x v="6"/>
    <x v="2"/>
  </r>
  <r>
    <x v="1134"/>
    <x v="6"/>
    <x v="0"/>
    <n v="94"/>
    <n v="94"/>
    <x v="44"/>
    <d v="2025-02-14T00:00:00"/>
    <x v="2"/>
    <x v="1"/>
    <x v="2"/>
    <x v="0"/>
    <x v="10"/>
    <x v="7"/>
    <x v="6"/>
    <x v="2"/>
  </r>
  <r>
    <x v="1135"/>
    <x v="10"/>
    <x v="0"/>
    <n v="22.3"/>
    <n v="22.3"/>
    <x v="44"/>
    <d v="2025-02-15T00:00:00"/>
    <x v="1"/>
    <x v="4"/>
    <x v="0"/>
    <x v="0"/>
    <x v="20"/>
    <x v="3"/>
    <x v="6"/>
    <x v="1"/>
  </r>
  <r>
    <x v="1136"/>
    <x v="0"/>
    <x v="0"/>
    <n v="21.9"/>
    <n v="21.9"/>
    <x v="44"/>
    <d v="2025-02-17T00:00:00"/>
    <x v="2"/>
    <x v="2"/>
    <x v="0"/>
    <x v="0"/>
    <x v="21"/>
    <x v="2"/>
    <x v="6"/>
    <x v="2"/>
  </r>
  <r>
    <x v="1137"/>
    <x v="17"/>
    <x v="2"/>
    <n v="27"/>
    <n v="81"/>
    <x v="44"/>
    <d v="2025-02-16T00:00:00"/>
    <x v="2"/>
    <x v="4"/>
    <x v="2"/>
    <x v="0"/>
    <x v="2"/>
    <x v="1"/>
    <x v="6"/>
    <x v="2"/>
  </r>
  <r>
    <x v="1138"/>
    <x v="2"/>
    <x v="12"/>
    <n v="149.6"/>
    <n v="598.4"/>
    <x v="44"/>
    <d v="2025-02-14T00:00:00"/>
    <x v="2"/>
    <x v="4"/>
    <x v="0"/>
    <x v="0"/>
    <x v="22"/>
    <x v="7"/>
    <x v="6"/>
    <x v="2"/>
  </r>
  <r>
    <x v="1139"/>
    <x v="2"/>
    <x v="12"/>
    <n v="129.1"/>
    <n v="516.4"/>
    <x v="44"/>
    <d v="2025-02-24T00:00:00"/>
    <x v="1"/>
    <x v="0"/>
    <x v="1"/>
    <x v="0"/>
    <x v="3"/>
    <x v="14"/>
    <x v="6"/>
    <x v="1"/>
  </r>
  <r>
    <x v="1140"/>
    <x v="1"/>
    <x v="4"/>
    <n v="40.4"/>
    <n v="484.79999999999995"/>
    <x v="44"/>
    <d v="2025-02-15T00:00:00"/>
    <x v="1"/>
    <x v="1"/>
    <x v="1"/>
    <x v="0"/>
    <x v="3"/>
    <x v="3"/>
    <x v="6"/>
    <x v="1"/>
  </r>
  <r>
    <x v="1141"/>
    <x v="4"/>
    <x v="2"/>
    <n v="48.5"/>
    <n v="145.5"/>
    <x v="44"/>
    <d v="2025-02-16T00:00:00"/>
    <x v="2"/>
    <x v="0"/>
    <x v="4"/>
    <x v="0"/>
    <x v="3"/>
    <x v="1"/>
    <x v="6"/>
    <x v="2"/>
  </r>
  <r>
    <x v="1142"/>
    <x v="9"/>
    <x v="1"/>
    <n v="37.6"/>
    <n v="75.2"/>
    <x v="44"/>
    <d v="2025-02-16T00:00:00"/>
    <x v="2"/>
    <x v="1"/>
    <x v="2"/>
    <x v="0"/>
    <x v="3"/>
    <x v="1"/>
    <x v="6"/>
    <x v="2"/>
  </r>
  <r>
    <x v="1143"/>
    <x v="8"/>
    <x v="1"/>
    <n v="19.600000000000001"/>
    <n v="39.200000000000003"/>
    <x v="44"/>
    <d v="2025-02-15T00:00:00"/>
    <x v="1"/>
    <x v="3"/>
    <x v="4"/>
    <x v="0"/>
    <x v="43"/>
    <x v="3"/>
    <x v="6"/>
    <x v="1"/>
  </r>
  <r>
    <x v="1144"/>
    <x v="8"/>
    <x v="9"/>
    <n v="18.5"/>
    <n v="92.5"/>
    <x v="44"/>
    <d v="2025-02-15T00:00:00"/>
    <x v="2"/>
    <x v="2"/>
    <x v="1"/>
    <x v="0"/>
    <x v="6"/>
    <x v="3"/>
    <x v="6"/>
    <x v="2"/>
  </r>
  <r>
    <x v="1145"/>
    <x v="5"/>
    <x v="2"/>
    <n v="25.5"/>
    <n v="76.5"/>
    <x v="44"/>
    <d v="2025-02-16T00:00:00"/>
    <x v="2"/>
    <x v="4"/>
    <x v="1"/>
    <x v="0"/>
    <x v="6"/>
    <x v="1"/>
    <x v="6"/>
    <x v="2"/>
  </r>
  <r>
    <x v="1146"/>
    <x v="2"/>
    <x v="1"/>
    <n v="94.7"/>
    <n v="189.4"/>
    <x v="44"/>
    <d v="2025-02-15T00:00:00"/>
    <x v="2"/>
    <x v="2"/>
    <x v="0"/>
    <x v="0"/>
    <x v="36"/>
    <x v="3"/>
    <x v="6"/>
    <x v="2"/>
  </r>
  <r>
    <x v="1147"/>
    <x v="1"/>
    <x v="13"/>
    <n v="38.799999999999997"/>
    <n v="232.79999999999998"/>
    <x v="44"/>
    <d v="2025-02-19T00:00:00"/>
    <x v="2"/>
    <x v="2"/>
    <x v="2"/>
    <x v="0"/>
    <x v="8"/>
    <x v="0"/>
    <x v="6"/>
    <x v="2"/>
  </r>
  <r>
    <x v="1148"/>
    <x v="9"/>
    <x v="1"/>
    <n v="49.4"/>
    <n v="98.8"/>
    <x v="45"/>
    <d v="2025-02-23T00:00:00"/>
    <x v="1"/>
    <x v="4"/>
    <x v="1"/>
    <x v="0"/>
    <x v="8"/>
    <x v="9"/>
    <x v="6"/>
    <x v="1"/>
  </r>
  <r>
    <x v="1149"/>
    <x v="7"/>
    <x v="2"/>
    <n v="68"/>
    <n v="204"/>
    <x v="45"/>
    <d v="2025-02-18T00:00:00"/>
    <x v="1"/>
    <x v="0"/>
    <x v="2"/>
    <x v="0"/>
    <x v="8"/>
    <x v="2"/>
    <x v="6"/>
    <x v="1"/>
  </r>
  <r>
    <x v="1150"/>
    <x v="15"/>
    <x v="3"/>
    <n v="63.7"/>
    <n v="445.90000000000003"/>
    <x v="45"/>
    <d v="2025-02-16T00:00:00"/>
    <x v="2"/>
    <x v="2"/>
    <x v="2"/>
    <x v="0"/>
    <x v="8"/>
    <x v="3"/>
    <x v="6"/>
    <x v="2"/>
  </r>
  <r>
    <x v="1151"/>
    <x v="10"/>
    <x v="1"/>
    <n v="66.2"/>
    <n v="132.4"/>
    <x v="45"/>
    <d v="2025-02-16T00:00:00"/>
    <x v="2"/>
    <x v="4"/>
    <x v="2"/>
    <x v="0"/>
    <x v="17"/>
    <x v="3"/>
    <x v="6"/>
    <x v="2"/>
  </r>
  <r>
    <x v="1152"/>
    <x v="12"/>
    <x v="2"/>
    <n v="32.299999999999997"/>
    <n v="96.899999999999991"/>
    <x v="45"/>
    <d v="2025-02-16T00:00:00"/>
    <x v="3"/>
    <x v="2"/>
    <x v="1"/>
    <x v="0"/>
    <x v="9"/>
    <x v="3"/>
    <x v="6"/>
    <x v="3"/>
  </r>
  <r>
    <x v="1153"/>
    <x v="4"/>
    <x v="1"/>
    <n v="66.900000000000006"/>
    <n v="133.80000000000001"/>
    <x v="45"/>
    <d v="2025-02-18T00:00:00"/>
    <x v="1"/>
    <x v="1"/>
    <x v="0"/>
    <x v="0"/>
    <x v="11"/>
    <x v="2"/>
    <x v="6"/>
    <x v="1"/>
  </r>
  <r>
    <x v="1154"/>
    <x v="4"/>
    <x v="4"/>
    <n v="25.2"/>
    <n v="302.39999999999998"/>
    <x v="45"/>
    <d v="2025-02-19T00:00:00"/>
    <x v="2"/>
    <x v="0"/>
    <x v="1"/>
    <x v="0"/>
    <x v="11"/>
    <x v="5"/>
    <x v="6"/>
    <x v="2"/>
  </r>
  <r>
    <x v="1155"/>
    <x v="10"/>
    <x v="13"/>
    <n v="29.5"/>
    <n v="177"/>
    <x v="45"/>
    <d v="2025-02-16T00:00:00"/>
    <x v="1"/>
    <x v="2"/>
    <x v="0"/>
    <x v="0"/>
    <x v="11"/>
    <x v="3"/>
    <x v="6"/>
    <x v="1"/>
  </r>
  <r>
    <x v="1156"/>
    <x v="8"/>
    <x v="9"/>
    <n v="21.6"/>
    <n v="108"/>
    <x v="45"/>
    <d v="2025-02-17T00:00:00"/>
    <x v="2"/>
    <x v="0"/>
    <x v="2"/>
    <x v="0"/>
    <x v="32"/>
    <x v="1"/>
    <x v="6"/>
    <x v="2"/>
  </r>
  <r>
    <x v="1157"/>
    <x v="12"/>
    <x v="2"/>
    <n v="69"/>
    <n v="207"/>
    <x v="45"/>
    <d v="2025-02-16T00:00:00"/>
    <x v="2"/>
    <x v="0"/>
    <x v="0"/>
    <x v="0"/>
    <x v="18"/>
    <x v="3"/>
    <x v="6"/>
    <x v="2"/>
  </r>
  <r>
    <x v="1158"/>
    <x v="7"/>
    <x v="1"/>
    <n v="115"/>
    <n v="230"/>
    <x v="45"/>
    <d v="2025-02-19T00:00:00"/>
    <x v="1"/>
    <x v="0"/>
    <x v="2"/>
    <x v="0"/>
    <x v="18"/>
    <x v="5"/>
    <x v="6"/>
    <x v="1"/>
  </r>
  <r>
    <x v="1159"/>
    <x v="2"/>
    <x v="1"/>
    <n v="109.3"/>
    <n v="218.6"/>
    <x v="45"/>
    <d v="2025-02-17T00:00:00"/>
    <x v="0"/>
    <x v="3"/>
    <x v="1"/>
    <x v="0"/>
    <x v="19"/>
    <x v="1"/>
    <x v="6"/>
    <x v="0"/>
  </r>
  <r>
    <x v="1160"/>
    <x v="9"/>
    <x v="1"/>
    <n v="66.599999999999994"/>
    <n v="133.19999999999999"/>
    <x v="45"/>
    <d v="2025-02-18T00:00:00"/>
    <x v="0"/>
    <x v="4"/>
    <x v="1"/>
    <x v="0"/>
    <x v="19"/>
    <x v="2"/>
    <x v="6"/>
    <x v="0"/>
  </r>
  <r>
    <x v="1161"/>
    <x v="12"/>
    <x v="9"/>
    <n v="47.7"/>
    <n v="238.5"/>
    <x v="45"/>
    <d v="2025-02-16T00:00:00"/>
    <x v="1"/>
    <x v="3"/>
    <x v="2"/>
    <x v="0"/>
    <x v="21"/>
    <x v="3"/>
    <x v="6"/>
    <x v="1"/>
  </r>
  <r>
    <x v="1162"/>
    <x v="8"/>
    <x v="1"/>
    <n v="46"/>
    <n v="92"/>
    <x v="45"/>
    <d v="2025-02-16T00:00:00"/>
    <x v="2"/>
    <x v="4"/>
    <x v="4"/>
    <x v="0"/>
    <x v="22"/>
    <x v="3"/>
    <x v="6"/>
    <x v="2"/>
  </r>
  <r>
    <x v="1163"/>
    <x v="1"/>
    <x v="13"/>
    <n v="39.299999999999997"/>
    <n v="235.79999999999998"/>
    <x v="45"/>
    <d v="2025-02-17T00:00:00"/>
    <x v="1"/>
    <x v="3"/>
    <x v="2"/>
    <x v="0"/>
    <x v="3"/>
    <x v="1"/>
    <x v="6"/>
    <x v="1"/>
  </r>
  <r>
    <x v="1164"/>
    <x v="9"/>
    <x v="0"/>
    <n v="70.2"/>
    <n v="70.2"/>
    <x v="45"/>
    <d v="2025-02-16T00:00:00"/>
    <x v="2"/>
    <x v="0"/>
    <x v="4"/>
    <x v="0"/>
    <x v="3"/>
    <x v="3"/>
    <x v="6"/>
    <x v="2"/>
  </r>
  <r>
    <x v="1165"/>
    <x v="3"/>
    <x v="12"/>
    <n v="71.5"/>
    <n v="286"/>
    <x v="45"/>
    <d v="2025-02-15T00:00:00"/>
    <x v="2"/>
    <x v="1"/>
    <x v="2"/>
    <x v="0"/>
    <x v="3"/>
    <x v="7"/>
    <x v="6"/>
    <x v="2"/>
  </r>
  <r>
    <x v="1166"/>
    <x v="10"/>
    <x v="3"/>
    <n v="31"/>
    <n v="217"/>
    <x v="45"/>
    <d v="2025-02-22T00:00:00"/>
    <x v="2"/>
    <x v="3"/>
    <x v="2"/>
    <x v="0"/>
    <x v="3"/>
    <x v="6"/>
    <x v="6"/>
    <x v="2"/>
  </r>
  <r>
    <x v="1167"/>
    <x v="2"/>
    <x v="9"/>
    <n v="68.2"/>
    <n v="341"/>
    <x v="45"/>
    <d v="2025-02-20T00:00:00"/>
    <x v="2"/>
    <x v="0"/>
    <x v="2"/>
    <x v="0"/>
    <x v="3"/>
    <x v="0"/>
    <x v="6"/>
    <x v="2"/>
  </r>
  <r>
    <x v="1168"/>
    <x v="2"/>
    <x v="0"/>
    <n v="91.4"/>
    <n v="91.4"/>
    <x v="45"/>
    <d v="2025-02-19T00:00:00"/>
    <x v="2"/>
    <x v="1"/>
    <x v="2"/>
    <x v="0"/>
    <x v="6"/>
    <x v="5"/>
    <x v="6"/>
    <x v="2"/>
  </r>
  <r>
    <x v="1169"/>
    <x v="6"/>
    <x v="7"/>
    <n v="112.9"/>
    <n v="1129"/>
    <x v="45"/>
    <d v="2025-02-16T00:00:00"/>
    <x v="2"/>
    <x v="0"/>
    <x v="0"/>
    <x v="0"/>
    <x v="6"/>
    <x v="3"/>
    <x v="6"/>
    <x v="2"/>
  </r>
  <r>
    <x v="1170"/>
    <x v="17"/>
    <x v="11"/>
    <n v="33.700000000000003"/>
    <n v="303.3"/>
    <x v="45"/>
    <d v="2025-02-16T00:00:00"/>
    <x v="2"/>
    <x v="1"/>
    <x v="2"/>
    <x v="0"/>
    <x v="8"/>
    <x v="3"/>
    <x v="6"/>
    <x v="2"/>
  </r>
  <r>
    <x v="1171"/>
    <x v="15"/>
    <x v="7"/>
    <n v="35.299999999999997"/>
    <n v="353"/>
    <x v="45"/>
    <d v="2025-02-17T00:00:00"/>
    <x v="1"/>
    <x v="2"/>
    <x v="0"/>
    <x v="0"/>
    <x v="8"/>
    <x v="1"/>
    <x v="6"/>
    <x v="1"/>
  </r>
  <r>
    <x v="1172"/>
    <x v="18"/>
    <x v="2"/>
    <n v="45.6"/>
    <n v="136.80000000000001"/>
    <x v="45"/>
    <d v="2025-02-19T00:00:00"/>
    <x v="1"/>
    <x v="3"/>
    <x v="0"/>
    <x v="0"/>
    <x v="8"/>
    <x v="5"/>
    <x v="6"/>
    <x v="1"/>
  </r>
  <r>
    <x v="1173"/>
    <x v="7"/>
    <x v="3"/>
    <n v="47.1"/>
    <n v="329.7"/>
    <x v="45"/>
    <d v="2025-02-16T00:00:00"/>
    <x v="2"/>
    <x v="4"/>
    <x v="2"/>
    <x v="0"/>
    <x v="9"/>
    <x v="3"/>
    <x v="6"/>
    <x v="2"/>
  </r>
  <r>
    <x v="1174"/>
    <x v="8"/>
    <x v="9"/>
    <n v="16.2"/>
    <n v="81"/>
    <x v="45"/>
    <d v="2025-02-17T00:00:00"/>
    <x v="2"/>
    <x v="3"/>
    <x v="2"/>
    <x v="0"/>
    <x v="19"/>
    <x v="1"/>
    <x v="6"/>
    <x v="2"/>
  </r>
  <r>
    <x v="1175"/>
    <x v="1"/>
    <x v="1"/>
    <n v="159.69999999999999"/>
    <n v="319.39999999999998"/>
    <x v="46"/>
    <d v="2025-02-17T00:00:00"/>
    <x v="1"/>
    <x v="4"/>
    <x v="0"/>
    <x v="0"/>
    <x v="13"/>
    <x v="3"/>
    <x v="7"/>
    <x v="1"/>
  </r>
  <r>
    <x v="1176"/>
    <x v="8"/>
    <x v="12"/>
    <n v="19"/>
    <n v="76"/>
    <x v="46"/>
    <d v="2025-02-23T00:00:00"/>
    <x v="2"/>
    <x v="2"/>
    <x v="2"/>
    <x v="0"/>
    <x v="21"/>
    <x v="6"/>
    <x v="7"/>
    <x v="2"/>
  </r>
  <r>
    <x v="1177"/>
    <x v="6"/>
    <x v="13"/>
    <n v="91.1"/>
    <n v="546.59999999999991"/>
    <x v="46"/>
    <d v="2025-02-25T00:00:00"/>
    <x v="2"/>
    <x v="4"/>
    <x v="0"/>
    <x v="0"/>
    <x v="21"/>
    <x v="8"/>
    <x v="7"/>
    <x v="2"/>
  </r>
  <r>
    <x v="1178"/>
    <x v="2"/>
    <x v="9"/>
    <n v="94.1"/>
    <n v="470.5"/>
    <x v="46"/>
    <d v="2025-02-19T00:00:00"/>
    <x v="0"/>
    <x v="1"/>
    <x v="1"/>
    <x v="0"/>
    <x v="21"/>
    <x v="2"/>
    <x v="7"/>
    <x v="0"/>
  </r>
  <r>
    <x v="1179"/>
    <x v="9"/>
    <x v="11"/>
    <n v="21.1"/>
    <n v="189.9"/>
    <x v="46"/>
    <d v="2025-02-17T00:00:00"/>
    <x v="2"/>
    <x v="4"/>
    <x v="2"/>
    <x v="0"/>
    <x v="51"/>
    <x v="3"/>
    <x v="7"/>
    <x v="2"/>
  </r>
  <r>
    <x v="1180"/>
    <x v="8"/>
    <x v="3"/>
    <n v="15.3"/>
    <n v="107.10000000000001"/>
    <x v="46"/>
    <d v="2025-02-24T00:00:00"/>
    <x v="2"/>
    <x v="2"/>
    <x v="0"/>
    <x v="0"/>
    <x v="1"/>
    <x v="9"/>
    <x v="7"/>
    <x v="2"/>
  </r>
  <r>
    <x v="1181"/>
    <x v="15"/>
    <x v="12"/>
    <n v="21.3"/>
    <n v="85.2"/>
    <x v="46"/>
    <d v="2025-02-19T00:00:00"/>
    <x v="1"/>
    <x v="1"/>
    <x v="0"/>
    <x v="0"/>
    <x v="3"/>
    <x v="2"/>
    <x v="7"/>
    <x v="1"/>
  </r>
  <r>
    <x v="1182"/>
    <x v="0"/>
    <x v="1"/>
    <n v="23.2"/>
    <n v="46.4"/>
    <x v="46"/>
    <d v="2025-02-16T00:00:00"/>
    <x v="0"/>
    <x v="3"/>
    <x v="1"/>
    <x v="0"/>
    <x v="3"/>
    <x v="7"/>
    <x v="7"/>
    <x v="0"/>
  </r>
  <r>
    <x v="1183"/>
    <x v="4"/>
    <x v="2"/>
    <n v="25.7"/>
    <n v="77.099999999999994"/>
    <x v="46"/>
    <d v="2025-02-17T00:00:00"/>
    <x v="1"/>
    <x v="4"/>
    <x v="0"/>
    <x v="0"/>
    <x v="3"/>
    <x v="3"/>
    <x v="7"/>
    <x v="1"/>
  </r>
  <r>
    <x v="1184"/>
    <x v="0"/>
    <x v="11"/>
    <n v="31.6"/>
    <n v="284.40000000000003"/>
    <x v="46"/>
    <d v="2025-02-18T00:00:00"/>
    <x v="2"/>
    <x v="0"/>
    <x v="0"/>
    <x v="0"/>
    <x v="3"/>
    <x v="1"/>
    <x v="7"/>
    <x v="2"/>
  </r>
  <r>
    <x v="1185"/>
    <x v="6"/>
    <x v="0"/>
    <n v="64.2"/>
    <n v="64.2"/>
    <x v="46"/>
    <d v="2025-02-21T00:00:00"/>
    <x v="1"/>
    <x v="0"/>
    <x v="0"/>
    <x v="0"/>
    <x v="3"/>
    <x v="0"/>
    <x v="7"/>
    <x v="1"/>
  </r>
  <r>
    <x v="1186"/>
    <x v="8"/>
    <x v="1"/>
    <n v="55.8"/>
    <n v="111.6"/>
    <x v="46"/>
    <d v="2025-02-18T00:00:00"/>
    <x v="0"/>
    <x v="0"/>
    <x v="0"/>
    <x v="0"/>
    <x v="3"/>
    <x v="1"/>
    <x v="7"/>
    <x v="0"/>
  </r>
  <r>
    <x v="1187"/>
    <x v="8"/>
    <x v="1"/>
    <n v="28.1"/>
    <n v="56.2"/>
    <x v="46"/>
    <d v="2025-02-17T00:00:00"/>
    <x v="2"/>
    <x v="4"/>
    <x v="1"/>
    <x v="0"/>
    <x v="3"/>
    <x v="3"/>
    <x v="7"/>
    <x v="2"/>
  </r>
  <r>
    <x v="1188"/>
    <x v="0"/>
    <x v="1"/>
    <n v="11.6"/>
    <n v="23.2"/>
    <x v="46"/>
    <d v="2025-02-18T00:00:00"/>
    <x v="2"/>
    <x v="1"/>
    <x v="0"/>
    <x v="0"/>
    <x v="24"/>
    <x v="1"/>
    <x v="7"/>
    <x v="2"/>
  </r>
  <r>
    <x v="1189"/>
    <x v="5"/>
    <x v="2"/>
    <n v="50.4"/>
    <n v="151.19999999999999"/>
    <x v="46"/>
    <d v="2025-02-17T00:00:00"/>
    <x v="1"/>
    <x v="4"/>
    <x v="2"/>
    <x v="0"/>
    <x v="25"/>
    <x v="3"/>
    <x v="7"/>
    <x v="1"/>
  </r>
  <r>
    <x v="1190"/>
    <x v="6"/>
    <x v="13"/>
    <n v="48.3"/>
    <n v="289.79999999999995"/>
    <x v="46"/>
    <d v="2025-02-20T00:00:00"/>
    <x v="2"/>
    <x v="0"/>
    <x v="0"/>
    <x v="0"/>
    <x v="25"/>
    <x v="5"/>
    <x v="7"/>
    <x v="2"/>
  </r>
  <r>
    <x v="1191"/>
    <x v="17"/>
    <x v="3"/>
    <n v="32.200000000000003"/>
    <n v="225.40000000000003"/>
    <x v="46"/>
    <d v="2025-02-18T00:00:00"/>
    <x v="2"/>
    <x v="2"/>
    <x v="0"/>
    <x v="0"/>
    <x v="25"/>
    <x v="1"/>
    <x v="7"/>
    <x v="2"/>
  </r>
  <r>
    <x v="1192"/>
    <x v="7"/>
    <x v="31"/>
    <n v="48.5"/>
    <n v="1358"/>
    <x v="46"/>
    <d v="2025-02-17T00:00:00"/>
    <x v="1"/>
    <x v="0"/>
    <x v="0"/>
    <x v="0"/>
    <x v="5"/>
    <x v="3"/>
    <x v="7"/>
    <x v="1"/>
  </r>
  <r>
    <x v="1193"/>
    <x v="2"/>
    <x v="9"/>
    <n v="62"/>
    <n v="310"/>
    <x v="46"/>
    <d v="2025-02-19T00:00:00"/>
    <x v="2"/>
    <x v="1"/>
    <x v="0"/>
    <x v="0"/>
    <x v="6"/>
    <x v="2"/>
    <x v="7"/>
    <x v="2"/>
  </r>
  <r>
    <x v="1194"/>
    <x v="8"/>
    <x v="2"/>
    <n v="32.1"/>
    <n v="96.300000000000011"/>
    <x v="47"/>
    <d v="2025-02-19T00:00:00"/>
    <x v="1"/>
    <x v="0"/>
    <x v="0"/>
    <x v="0"/>
    <x v="6"/>
    <x v="1"/>
    <x v="7"/>
    <x v="1"/>
  </r>
  <r>
    <x v="1195"/>
    <x v="12"/>
    <x v="2"/>
    <n v="106.1"/>
    <n v="318.29999999999995"/>
    <x v="47"/>
    <d v="2025-02-19T00:00:00"/>
    <x v="1"/>
    <x v="0"/>
    <x v="1"/>
    <x v="0"/>
    <x v="7"/>
    <x v="1"/>
    <x v="7"/>
    <x v="1"/>
  </r>
  <r>
    <x v="1196"/>
    <x v="10"/>
    <x v="2"/>
    <n v="23.5"/>
    <n v="70.5"/>
    <x v="47"/>
    <d v="2025-02-20T00:00:00"/>
    <x v="1"/>
    <x v="0"/>
    <x v="4"/>
    <x v="0"/>
    <x v="7"/>
    <x v="2"/>
    <x v="7"/>
    <x v="1"/>
  </r>
  <r>
    <x v="1197"/>
    <x v="1"/>
    <x v="1"/>
    <n v="35.6"/>
    <n v="71.2"/>
    <x v="47"/>
    <d v="2025-02-22T00:00:00"/>
    <x v="1"/>
    <x v="4"/>
    <x v="0"/>
    <x v="0"/>
    <x v="8"/>
    <x v="0"/>
    <x v="7"/>
    <x v="1"/>
  </r>
  <r>
    <x v="1198"/>
    <x v="1"/>
    <x v="1"/>
    <n v="63.5"/>
    <n v="127"/>
    <x v="47"/>
    <d v="2025-02-17T00:00:00"/>
    <x v="2"/>
    <x v="1"/>
    <x v="2"/>
    <x v="0"/>
    <x v="8"/>
    <x v="7"/>
    <x v="7"/>
    <x v="2"/>
  </r>
  <r>
    <x v="1199"/>
    <x v="6"/>
    <x v="3"/>
    <n v="82.9"/>
    <n v="580.30000000000007"/>
    <x v="47"/>
    <d v="2025-02-22T00:00:00"/>
    <x v="2"/>
    <x v="4"/>
    <x v="0"/>
    <x v="0"/>
    <x v="9"/>
    <x v="0"/>
    <x v="7"/>
    <x v="2"/>
  </r>
  <r>
    <x v="1200"/>
    <x v="6"/>
    <x v="1"/>
    <n v="83.6"/>
    <n v="167.2"/>
    <x v="47"/>
    <d v="2025-02-22T00:00:00"/>
    <x v="2"/>
    <x v="0"/>
    <x v="0"/>
    <x v="0"/>
    <x v="11"/>
    <x v="0"/>
    <x v="7"/>
    <x v="2"/>
  </r>
  <r>
    <x v="1201"/>
    <x v="4"/>
    <x v="1"/>
    <n v="29.4"/>
    <n v="58.8"/>
    <x v="47"/>
    <d v="2025-02-17T00:00:00"/>
    <x v="2"/>
    <x v="0"/>
    <x v="1"/>
    <x v="0"/>
    <x v="30"/>
    <x v="7"/>
    <x v="7"/>
    <x v="2"/>
  </r>
  <r>
    <x v="1202"/>
    <x v="2"/>
    <x v="2"/>
    <n v="107.1"/>
    <n v="321.29999999999995"/>
    <x v="47"/>
    <d v="2025-02-21T00:00:00"/>
    <x v="2"/>
    <x v="2"/>
    <x v="0"/>
    <x v="0"/>
    <x v="20"/>
    <x v="5"/>
    <x v="7"/>
    <x v="2"/>
  </r>
  <r>
    <x v="1203"/>
    <x v="2"/>
    <x v="0"/>
    <n v="62.7"/>
    <n v="62.7"/>
    <x v="47"/>
    <d v="2025-02-21T00:00:00"/>
    <x v="1"/>
    <x v="1"/>
    <x v="0"/>
    <x v="0"/>
    <x v="21"/>
    <x v="5"/>
    <x v="7"/>
    <x v="1"/>
  </r>
  <r>
    <x v="1204"/>
    <x v="11"/>
    <x v="0"/>
    <n v="41.6"/>
    <n v="41.6"/>
    <x v="47"/>
    <d v="2025-02-18T00:00:00"/>
    <x v="1"/>
    <x v="0"/>
    <x v="1"/>
    <x v="0"/>
    <x v="1"/>
    <x v="3"/>
    <x v="7"/>
    <x v="1"/>
  </r>
  <r>
    <x v="1205"/>
    <x v="6"/>
    <x v="0"/>
    <n v="44.2"/>
    <n v="44.2"/>
    <x v="47"/>
    <d v="2025-02-18T00:00:00"/>
    <x v="3"/>
    <x v="0"/>
    <x v="1"/>
    <x v="0"/>
    <x v="1"/>
    <x v="3"/>
    <x v="7"/>
    <x v="3"/>
  </r>
  <r>
    <x v="1206"/>
    <x v="4"/>
    <x v="13"/>
    <n v="40.4"/>
    <n v="242.39999999999998"/>
    <x v="47"/>
    <d v="2025-03-02T00:00:00"/>
    <x v="2"/>
    <x v="2"/>
    <x v="0"/>
    <x v="0"/>
    <x v="22"/>
    <x v="10"/>
    <x v="7"/>
    <x v="2"/>
  </r>
  <r>
    <x v="1207"/>
    <x v="15"/>
    <x v="13"/>
    <n v="59.6"/>
    <n v="357.6"/>
    <x v="47"/>
    <d v="2025-02-18T00:00:00"/>
    <x v="2"/>
    <x v="4"/>
    <x v="0"/>
    <x v="0"/>
    <x v="34"/>
    <x v="3"/>
    <x v="7"/>
    <x v="2"/>
  </r>
  <r>
    <x v="1208"/>
    <x v="17"/>
    <x v="4"/>
    <n v="63.8"/>
    <n v="765.59999999999991"/>
    <x v="47"/>
    <d v="2025-02-18T00:00:00"/>
    <x v="1"/>
    <x v="1"/>
    <x v="0"/>
    <x v="0"/>
    <x v="3"/>
    <x v="3"/>
    <x v="7"/>
    <x v="1"/>
  </r>
  <r>
    <x v="1209"/>
    <x v="9"/>
    <x v="13"/>
    <n v="30.8"/>
    <n v="184.8"/>
    <x v="47"/>
    <d v="2025-02-19T00:00:00"/>
    <x v="1"/>
    <x v="4"/>
    <x v="0"/>
    <x v="0"/>
    <x v="3"/>
    <x v="1"/>
    <x v="7"/>
    <x v="1"/>
  </r>
  <r>
    <x v="1210"/>
    <x v="1"/>
    <x v="1"/>
    <n v="41.5"/>
    <n v="83"/>
    <x v="47"/>
    <d v="2025-02-20T00:00:00"/>
    <x v="3"/>
    <x v="0"/>
    <x v="0"/>
    <x v="0"/>
    <x v="3"/>
    <x v="2"/>
    <x v="7"/>
    <x v="3"/>
  </r>
  <r>
    <x v="1211"/>
    <x v="10"/>
    <x v="12"/>
    <n v="44.7"/>
    <n v="178.8"/>
    <x v="47"/>
    <d v="2025-02-19T00:00:00"/>
    <x v="2"/>
    <x v="2"/>
    <x v="1"/>
    <x v="0"/>
    <x v="3"/>
    <x v="1"/>
    <x v="7"/>
    <x v="2"/>
  </r>
  <r>
    <x v="1212"/>
    <x v="12"/>
    <x v="1"/>
    <n v="64.099999999999994"/>
    <n v="128.19999999999999"/>
    <x v="47"/>
    <d v="2025-02-21T00:00:00"/>
    <x v="2"/>
    <x v="1"/>
    <x v="4"/>
    <x v="0"/>
    <x v="3"/>
    <x v="5"/>
    <x v="7"/>
    <x v="2"/>
  </r>
  <r>
    <x v="1213"/>
    <x v="8"/>
    <x v="0"/>
    <n v="15.9"/>
    <n v="15.9"/>
    <x v="47"/>
    <d v="2025-02-20T00:00:00"/>
    <x v="0"/>
    <x v="1"/>
    <x v="0"/>
    <x v="0"/>
    <x v="3"/>
    <x v="2"/>
    <x v="7"/>
    <x v="0"/>
  </r>
  <r>
    <x v="1214"/>
    <x v="6"/>
    <x v="1"/>
    <n v="78.7"/>
    <n v="157.4"/>
    <x v="47"/>
    <d v="2025-02-17T00:00:00"/>
    <x v="2"/>
    <x v="2"/>
    <x v="1"/>
    <x v="0"/>
    <x v="3"/>
    <x v="7"/>
    <x v="7"/>
    <x v="2"/>
  </r>
  <r>
    <x v="1215"/>
    <x v="5"/>
    <x v="4"/>
    <n v="29.6"/>
    <n v="355.20000000000005"/>
    <x v="47"/>
    <d v="2025-02-21T00:00:00"/>
    <x v="1"/>
    <x v="2"/>
    <x v="4"/>
    <x v="0"/>
    <x v="3"/>
    <x v="5"/>
    <x v="7"/>
    <x v="1"/>
  </r>
  <r>
    <x v="1216"/>
    <x v="8"/>
    <x v="12"/>
    <n v="21.5"/>
    <n v="86"/>
    <x v="47"/>
    <d v="2025-02-20T00:00:00"/>
    <x v="1"/>
    <x v="1"/>
    <x v="0"/>
    <x v="0"/>
    <x v="3"/>
    <x v="2"/>
    <x v="7"/>
    <x v="1"/>
  </r>
  <r>
    <x v="1217"/>
    <x v="9"/>
    <x v="2"/>
    <n v="74.900000000000006"/>
    <n v="224.70000000000002"/>
    <x v="47"/>
    <d v="2025-02-26T00:00:00"/>
    <x v="1"/>
    <x v="3"/>
    <x v="1"/>
    <x v="0"/>
    <x v="3"/>
    <x v="8"/>
    <x v="7"/>
    <x v="1"/>
  </r>
  <r>
    <x v="1218"/>
    <x v="10"/>
    <x v="13"/>
    <n v="45"/>
    <n v="270"/>
    <x v="47"/>
    <d v="2025-02-22T00:00:00"/>
    <x v="2"/>
    <x v="2"/>
    <x v="0"/>
    <x v="0"/>
    <x v="3"/>
    <x v="0"/>
    <x v="7"/>
    <x v="2"/>
  </r>
  <r>
    <x v="1219"/>
    <x v="7"/>
    <x v="33"/>
    <n v="37.9"/>
    <n v="1288.5999999999999"/>
    <x v="47"/>
    <d v="2025-02-18T00:00:00"/>
    <x v="1"/>
    <x v="0"/>
    <x v="0"/>
    <x v="0"/>
    <x v="3"/>
    <x v="3"/>
    <x v="7"/>
    <x v="1"/>
  </r>
  <r>
    <x v="1220"/>
    <x v="6"/>
    <x v="2"/>
    <n v="56.6"/>
    <n v="169.8"/>
    <x v="47"/>
    <d v="2025-02-18T00:00:00"/>
    <x v="1"/>
    <x v="3"/>
    <x v="0"/>
    <x v="0"/>
    <x v="3"/>
    <x v="3"/>
    <x v="7"/>
    <x v="1"/>
  </r>
  <r>
    <x v="1221"/>
    <x v="3"/>
    <x v="15"/>
    <n v="84.5"/>
    <n v="1098.5"/>
    <x v="47"/>
    <d v="2025-02-20T00:00:00"/>
    <x v="2"/>
    <x v="1"/>
    <x v="4"/>
    <x v="0"/>
    <x v="3"/>
    <x v="2"/>
    <x v="7"/>
    <x v="2"/>
  </r>
  <r>
    <x v="1222"/>
    <x v="2"/>
    <x v="9"/>
    <n v="105.4"/>
    <n v="527"/>
    <x v="47"/>
    <d v="2025-02-19T00:00:00"/>
    <x v="2"/>
    <x v="1"/>
    <x v="1"/>
    <x v="0"/>
    <x v="3"/>
    <x v="1"/>
    <x v="7"/>
    <x v="2"/>
  </r>
  <r>
    <x v="1223"/>
    <x v="18"/>
    <x v="3"/>
    <n v="39.4"/>
    <n v="275.8"/>
    <x v="48"/>
    <d v="2025-02-18T00:00:00"/>
    <x v="1"/>
    <x v="1"/>
    <x v="0"/>
    <x v="0"/>
    <x v="37"/>
    <x v="7"/>
    <x v="7"/>
    <x v="1"/>
  </r>
  <r>
    <x v="1224"/>
    <x v="19"/>
    <x v="2"/>
    <n v="38"/>
    <n v="114"/>
    <x v="48"/>
    <d v="2025-02-21T00:00:00"/>
    <x v="1"/>
    <x v="4"/>
    <x v="1"/>
    <x v="0"/>
    <x v="6"/>
    <x v="2"/>
    <x v="7"/>
    <x v="1"/>
  </r>
  <r>
    <x v="1225"/>
    <x v="17"/>
    <x v="12"/>
    <n v="42.5"/>
    <n v="170"/>
    <x v="48"/>
    <d v="2025-02-20T00:00:00"/>
    <x v="0"/>
    <x v="0"/>
    <x v="0"/>
    <x v="0"/>
    <x v="6"/>
    <x v="1"/>
    <x v="7"/>
    <x v="0"/>
  </r>
  <r>
    <x v="1226"/>
    <x v="15"/>
    <x v="0"/>
    <n v="62.3"/>
    <n v="62.3"/>
    <x v="48"/>
    <d v="2025-02-27T00:00:00"/>
    <x v="1"/>
    <x v="0"/>
    <x v="2"/>
    <x v="0"/>
    <x v="6"/>
    <x v="8"/>
    <x v="7"/>
    <x v="1"/>
  </r>
  <r>
    <x v="1227"/>
    <x v="6"/>
    <x v="9"/>
    <n v="49.1"/>
    <n v="245.5"/>
    <x v="48"/>
    <d v="2025-02-20T00:00:00"/>
    <x v="2"/>
    <x v="1"/>
    <x v="2"/>
    <x v="0"/>
    <x v="7"/>
    <x v="1"/>
    <x v="7"/>
    <x v="2"/>
  </r>
  <r>
    <x v="1228"/>
    <x v="3"/>
    <x v="1"/>
    <n v="30.5"/>
    <n v="61"/>
    <x v="48"/>
    <d v="2025-02-21T00:00:00"/>
    <x v="1"/>
    <x v="0"/>
    <x v="2"/>
    <x v="0"/>
    <x v="8"/>
    <x v="2"/>
    <x v="7"/>
    <x v="1"/>
  </r>
  <r>
    <x v="1229"/>
    <x v="2"/>
    <x v="1"/>
    <n v="154.80000000000001"/>
    <n v="309.60000000000002"/>
    <x v="48"/>
    <d v="2025-02-21T00:00:00"/>
    <x v="2"/>
    <x v="1"/>
    <x v="4"/>
    <x v="0"/>
    <x v="8"/>
    <x v="2"/>
    <x v="7"/>
    <x v="2"/>
  </r>
  <r>
    <x v="1230"/>
    <x v="6"/>
    <x v="0"/>
    <n v="45"/>
    <n v="45"/>
    <x v="48"/>
    <d v="2025-02-22T00:00:00"/>
    <x v="1"/>
    <x v="3"/>
    <x v="1"/>
    <x v="0"/>
    <x v="8"/>
    <x v="5"/>
    <x v="7"/>
    <x v="1"/>
  </r>
  <r>
    <x v="1231"/>
    <x v="0"/>
    <x v="3"/>
    <n v="15.3"/>
    <n v="107.10000000000001"/>
    <x v="48"/>
    <d v="2025-02-19T00:00:00"/>
    <x v="1"/>
    <x v="0"/>
    <x v="2"/>
    <x v="0"/>
    <x v="8"/>
    <x v="3"/>
    <x v="7"/>
    <x v="1"/>
  </r>
  <r>
    <x v="1232"/>
    <x v="2"/>
    <x v="5"/>
    <n v="88.6"/>
    <n v="974.59999999999991"/>
    <x v="48"/>
    <d v="2025-02-21T00:00:00"/>
    <x v="2"/>
    <x v="0"/>
    <x v="4"/>
    <x v="0"/>
    <x v="17"/>
    <x v="2"/>
    <x v="7"/>
    <x v="2"/>
  </r>
  <r>
    <x v="1233"/>
    <x v="9"/>
    <x v="1"/>
    <n v="49.7"/>
    <n v="99.4"/>
    <x v="48"/>
    <d v="2025-02-20T00:00:00"/>
    <x v="3"/>
    <x v="4"/>
    <x v="0"/>
    <x v="0"/>
    <x v="10"/>
    <x v="1"/>
    <x v="7"/>
    <x v="3"/>
  </r>
  <r>
    <x v="1234"/>
    <x v="10"/>
    <x v="0"/>
    <n v="29"/>
    <n v="29"/>
    <x v="48"/>
    <d v="2025-02-19T00:00:00"/>
    <x v="1"/>
    <x v="0"/>
    <x v="0"/>
    <x v="0"/>
    <x v="11"/>
    <x v="3"/>
    <x v="7"/>
    <x v="1"/>
  </r>
  <r>
    <x v="1235"/>
    <x v="1"/>
    <x v="0"/>
    <n v="60.7"/>
    <n v="60.7"/>
    <x v="48"/>
    <d v="2025-02-19T00:00:00"/>
    <x v="3"/>
    <x v="0"/>
    <x v="1"/>
    <x v="0"/>
    <x v="11"/>
    <x v="3"/>
    <x v="7"/>
    <x v="3"/>
  </r>
  <r>
    <x v="1236"/>
    <x v="17"/>
    <x v="12"/>
    <n v="87.4"/>
    <n v="349.6"/>
    <x v="48"/>
    <d v="2025-02-20T00:00:00"/>
    <x v="0"/>
    <x v="0"/>
    <x v="0"/>
    <x v="0"/>
    <x v="11"/>
    <x v="1"/>
    <x v="7"/>
    <x v="0"/>
  </r>
  <r>
    <x v="1237"/>
    <x v="4"/>
    <x v="3"/>
    <n v="44.5"/>
    <n v="311.5"/>
    <x v="48"/>
    <d v="2025-02-22T00:00:00"/>
    <x v="2"/>
    <x v="2"/>
    <x v="2"/>
    <x v="0"/>
    <x v="19"/>
    <x v="5"/>
    <x v="7"/>
    <x v="2"/>
  </r>
  <r>
    <x v="1238"/>
    <x v="2"/>
    <x v="0"/>
    <n v="141"/>
    <n v="141"/>
    <x v="48"/>
    <d v="2025-02-19T00:00:00"/>
    <x v="1"/>
    <x v="4"/>
    <x v="2"/>
    <x v="0"/>
    <x v="19"/>
    <x v="3"/>
    <x v="7"/>
    <x v="1"/>
  </r>
  <r>
    <x v="1239"/>
    <x v="0"/>
    <x v="2"/>
    <n v="16.7"/>
    <n v="50.099999999999994"/>
    <x v="48"/>
    <d v="2025-02-26T00:00:00"/>
    <x v="2"/>
    <x v="0"/>
    <x v="0"/>
    <x v="0"/>
    <x v="20"/>
    <x v="9"/>
    <x v="7"/>
    <x v="2"/>
  </r>
  <r>
    <x v="1240"/>
    <x v="1"/>
    <x v="1"/>
    <n v="77.5"/>
    <n v="155"/>
    <x v="48"/>
    <d v="2025-02-19T00:00:00"/>
    <x v="0"/>
    <x v="2"/>
    <x v="2"/>
    <x v="0"/>
    <x v="13"/>
    <x v="3"/>
    <x v="7"/>
    <x v="0"/>
  </r>
  <r>
    <x v="1241"/>
    <x v="2"/>
    <x v="1"/>
    <n v="163"/>
    <n v="326"/>
    <x v="48"/>
    <d v="2025-02-24T00:00:00"/>
    <x v="2"/>
    <x v="4"/>
    <x v="0"/>
    <x v="0"/>
    <x v="21"/>
    <x v="4"/>
    <x v="7"/>
    <x v="2"/>
  </r>
  <r>
    <x v="1242"/>
    <x v="4"/>
    <x v="11"/>
    <n v="21.4"/>
    <n v="192.6"/>
    <x v="48"/>
    <d v="2025-02-21T00:00:00"/>
    <x v="2"/>
    <x v="0"/>
    <x v="0"/>
    <x v="0"/>
    <x v="51"/>
    <x v="2"/>
    <x v="7"/>
    <x v="2"/>
  </r>
  <r>
    <x v="1243"/>
    <x v="10"/>
    <x v="5"/>
    <n v="31"/>
    <n v="341"/>
    <x v="48"/>
    <d v="2025-02-20T00:00:00"/>
    <x v="2"/>
    <x v="3"/>
    <x v="2"/>
    <x v="0"/>
    <x v="1"/>
    <x v="1"/>
    <x v="7"/>
    <x v="2"/>
  </r>
  <r>
    <x v="1244"/>
    <x v="7"/>
    <x v="1"/>
    <n v="34.299999999999997"/>
    <n v="68.599999999999994"/>
    <x v="48"/>
    <d v="2025-02-20T00:00:00"/>
    <x v="2"/>
    <x v="0"/>
    <x v="3"/>
    <x v="0"/>
    <x v="1"/>
    <x v="1"/>
    <x v="7"/>
    <x v="2"/>
  </r>
  <r>
    <x v="1245"/>
    <x v="17"/>
    <x v="9"/>
    <n v="48.2"/>
    <n v="241"/>
    <x v="48"/>
    <d v="2025-02-19T00:00:00"/>
    <x v="1"/>
    <x v="1"/>
    <x v="1"/>
    <x v="0"/>
    <x v="2"/>
    <x v="3"/>
    <x v="7"/>
    <x v="1"/>
  </r>
  <r>
    <x v="1246"/>
    <x v="10"/>
    <x v="0"/>
    <n v="51.4"/>
    <n v="51.4"/>
    <x v="48"/>
    <d v="2025-02-19T00:00:00"/>
    <x v="1"/>
    <x v="0"/>
    <x v="0"/>
    <x v="0"/>
    <x v="3"/>
    <x v="3"/>
    <x v="7"/>
    <x v="1"/>
  </r>
  <r>
    <x v="1247"/>
    <x v="2"/>
    <x v="9"/>
    <n v="117.2"/>
    <n v="586"/>
    <x v="48"/>
    <d v="2025-02-21T00:00:00"/>
    <x v="2"/>
    <x v="4"/>
    <x v="4"/>
    <x v="0"/>
    <x v="3"/>
    <x v="2"/>
    <x v="7"/>
    <x v="2"/>
  </r>
  <r>
    <x v="1248"/>
    <x v="8"/>
    <x v="0"/>
    <n v="38.1"/>
    <n v="38.1"/>
    <x v="48"/>
    <d v="2025-02-18T00:00:00"/>
    <x v="1"/>
    <x v="4"/>
    <x v="1"/>
    <x v="0"/>
    <x v="3"/>
    <x v="7"/>
    <x v="7"/>
    <x v="1"/>
  </r>
  <r>
    <x v="1249"/>
    <x v="0"/>
    <x v="1"/>
    <n v="44.1"/>
    <n v="88.2"/>
    <x v="48"/>
    <d v="2025-02-20T00:00:00"/>
    <x v="2"/>
    <x v="2"/>
    <x v="0"/>
    <x v="0"/>
    <x v="3"/>
    <x v="1"/>
    <x v="7"/>
    <x v="2"/>
  </r>
  <r>
    <x v="1250"/>
    <x v="15"/>
    <x v="12"/>
    <n v="80.5"/>
    <n v="322"/>
    <x v="48"/>
    <d v="2025-02-23T00:00:00"/>
    <x v="1"/>
    <x v="0"/>
    <x v="0"/>
    <x v="0"/>
    <x v="3"/>
    <x v="0"/>
    <x v="7"/>
    <x v="1"/>
  </r>
  <r>
    <x v="1251"/>
    <x v="18"/>
    <x v="12"/>
    <n v="33.6"/>
    <n v="134.4"/>
    <x v="48"/>
    <d v="2025-02-23T00:00:00"/>
    <x v="0"/>
    <x v="0"/>
    <x v="2"/>
    <x v="0"/>
    <x v="3"/>
    <x v="0"/>
    <x v="7"/>
    <x v="0"/>
  </r>
  <r>
    <x v="1252"/>
    <x v="9"/>
    <x v="11"/>
    <n v="41.8"/>
    <n v="376.2"/>
    <x v="48"/>
    <d v="2025-02-19T00:00:00"/>
    <x v="2"/>
    <x v="0"/>
    <x v="1"/>
    <x v="0"/>
    <x v="3"/>
    <x v="3"/>
    <x v="7"/>
    <x v="2"/>
  </r>
  <r>
    <x v="1253"/>
    <x v="1"/>
    <x v="1"/>
    <n v="106.2"/>
    <n v="212.4"/>
    <x v="48"/>
    <d v="2025-02-18T00:00:00"/>
    <x v="2"/>
    <x v="4"/>
    <x v="2"/>
    <x v="0"/>
    <x v="3"/>
    <x v="7"/>
    <x v="7"/>
    <x v="2"/>
  </r>
  <r>
    <x v="1254"/>
    <x v="1"/>
    <x v="1"/>
    <n v="52.6"/>
    <n v="105.2"/>
    <x v="48"/>
    <d v="2025-02-19T00:00:00"/>
    <x v="2"/>
    <x v="0"/>
    <x v="2"/>
    <x v="0"/>
    <x v="5"/>
    <x v="3"/>
    <x v="7"/>
    <x v="2"/>
  </r>
  <r>
    <x v="1255"/>
    <x v="11"/>
    <x v="3"/>
    <n v="68.5"/>
    <n v="479.5"/>
    <x v="48"/>
    <d v="2025-02-19T00:00:00"/>
    <x v="2"/>
    <x v="1"/>
    <x v="0"/>
    <x v="0"/>
    <x v="5"/>
    <x v="3"/>
    <x v="7"/>
    <x v="2"/>
  </r>
  <r>
    <x v="1256"/>
    <x v="1"/>
    <x v="1"/>
    <n v="55.6"/>
    <n v="111.2"/>
    <x v="48"/>
    <d v="2025-02-20T00:00:00"/>
    <x v="1"/>
    <x v="1"/>
    <x v="2"/>
    <x v="0"/>
    <x v="6"/>
    <x v="1"/>
    <x v="7"/>
    <x v="1"/>
  </r>
  <r>
    <x v="1257"/>
    <x v="2"/>
    <x v="2"/>
    <n v="134.9"/>
    <n v="404.70000000000005"/>
    <x v="48"/>
    <d v="2025-02-19T00:00:00"/>
    <x v="1"/>
    <x v="1"/>
    <x v="1"/>
    <x v="0"/>
    <x v="6"/>
    <x v="3"/>
    <x v="7"/>
    <x v="1"/>
  </r>
  <r>
    <x v="1258"/>
    <x v="10"/>
    <x v="9"/>
    <n v="42.6"/>
    <n v="213"/>
    <x v="48"/>
    <d v="2025-02-19T00:00:00"/>
    <x v="1"/>
    <x v="0"/>
    <x v="0"/>
    <x v="0"/>
    <x v="6"/>
    <x v="3"/>
    <x v="7"/>
    <x v="1"/>
  </r>
  <r>
    <x v="1259"/>
    <x v="7"/>
    <x v="9"/>
    <n v="60.6"/>
    <n v="303"/>
    <x v="48"/>
    <d v="2025-02-20T00:00:00"/>
    <x v="1"/>
    <x v="4"/>
    <x v="0"/>
    <x v="0"/>
    <x v="6"/>
    <x v="1"/>
    <x v="7"/>
    <x v="1"/>
  </r>
  <r>
    <x v="1260"/>
    <x v="8"/>
    <x v="1"/>
    <n v="43.5"/>
    <n v="87"/>
    <x v="48"/>
    <d v="2025-02-19T00:00:00"/>
    <x v="1"/>
    <x v="4"/>
    <x v="0"/>
    <x v="0"/>
    <x v="7"/>
    <x v="3"/>
    <x v="7"/>
    <x v="1"/>
  </r>
  <r>
    <x v="1261"/>
    <x v="2"/>
    <x v="1"/>
    <n v="187.1"/>
    <n v="374.2"/>
    <x v="48"/>
    <d v="2025-02-19T00:00:00"/>
    <x v="1"/>
    <x v="1"/>
    <x v="2"/>
    <x v="0"/>
    <x v="8"/>
    <x v="3"/>
    <x v="7"/>
    <x v="1"/>
  </r>
  <r>
    <x v="1262"/>
    <x v="9"/>
    <x v="2"/>
    <n v="32"/>
    <n v="96"/>
    <x v="48"/>
    <d v="2025-02-20T00:00:00"/>
    <x v="1"/>
    <x v="0"/>
    <x v="0"/>
    <x v="0"/>
    <x v="8"/>
    <x v="1"/>
    <x v="7"/>
    <x v="1"/>
  </r>
  <r>
    <x v="1263"/>
    <x v="9"/>
    <x v="1"/>
    <n v="110.8"/>
    <n v="221.6"/>
    <x v="48"/>
    <d v="2025-02-18T00:00:00"/>
    <x v="1"/>
    <x v="0"/>
    <x v="2"/>
    <x v="0"/>
    <x v="8"/>
    <x v="7"/>
    <x v="7"/>
    <x v="1"/>
  </r>
  <r>
    <x v="1264"/>
    <x v="10"/>
    <x v="15"/>
    <n v="36.1"/>
    <n v="469.3"/>
    <x v="48"/>
    <d v="2025-02-21T00:00:00"/>
    <x v="2"/>
    <x v="0"/>
    <x v="1"/>
    <x v="0"/>
    <x v="8"/>
    <x v="2"/>
    <x v="7"/>
    <x v="2"/>
  </r>
  <r>
    <x v="1265"/>
    <x v="0"/>
    <x v="0"/>
    <n v="24.1"/>
    <n v="24.1"/>
    <x v="48"/>
    <d v="2025-02-20T00:00:00"/>
    <x v="2"/>
    <x v="4"/>
    <x v="2"/>
    <x v="0"/>
    <x v="8"/>
    <x v="1"/>
    <x v="7"/>
    <x v="2"/>
  </r>
  <r>
    <x v="1266"/>
    <x v="19"/>
    <x v="2"/>
    <n v="30.5"/>
    <n v="91.5"/>
    <x v="48"/>
    <d v="2025-02-20T00:00:00"/>
    <x v="1"/>
    <x v="1"/>
    <x v="0"/>
    <x v="0"/>
    <x v="8"/>
    <x v="1"/>
    <x v="7"/>
    <x v="1"/>
  </r>
  <r>
    <x v="1267"/>
    <x v="18"/>
    <x v="13"/>
    <n v="68.3"/>
    <n v="409.79999999999995"/>
    <x v="48"/>
    <d v="2025-02-21T00:00:00"/>
    <x v="1"/>
    <x v="0"/>
    <x v="0"/>
    <x v="0"/>
    <x v="8"/>
    <x v="2"/>
    <x v="7"/>
    <x v="1"/>
  </r>
  <r>
    <x v="1268"/>
    <x v="7"/>
    <x v="2"/>
    <n v="43.3"/>
    <n v="129.89999999999998"/>
    <x v="48"/>
    <d v="2025-02-22T00:00:00"/>
    <x v="2"/>
    <x v="0"/>
    <x v="0"/>
    <x v="0"/>
    <x v="17"/>
    <x v="5"/>
    <x v="7"/>
    <x v="2"/>
  </r>
  <r>
    <x v="1269"/>
    <x v="3"/>
    <x v="0"/>
    <n v="101.7"/>
    <n v="101.7"/>
    <x v="48"/>
    <d v="2025-02-21T00:00:00"/>
    <x v="2"/>
    <x v="0"/>
    <x v="1"/>
    <x v="0"/>
    <x v="17"/>
    <x v="2"/>
    <x v="7"/>
    <x v="2"/>
  </r>
  <r>
    <x v="1270"/>
    <x v="11"/>
    <x v="1"/>
    <n v="54.2"/>
    <n v="108.4"/>
    <x v="48"/>
    <d v="2025-02-19T00:00:00"/>
    <x v="2"/>
    <x v="0"/>
    <x v="1"/>
    <x v="0"/>
    <x v="17"/>
    <x v="3"/>
    <x v="7"/>
    <x v="2"/>
  </r>
  <r>
    <x v="1271"/>
    <x v="16"/>
    <x v="1"/>
    <n v="51"/>
    <n v="102"/>
    <x v="48"/>
    <d v="2025-02-18T00:00:00"/>
    <x v="1"/>
    <x v="1"/>
    <x v="0"/>
    <x v="0"/>
    <x v="26"/>
    <x v="7"/>
    <x v="7"/>
    <x v="1"/>
  </r>
  <r>
    <x v="1272"/>
    <x v="4"/>
    <x v="1"/>
    <n v="23.1"/>
    <n v="46.2"/>
    <x v="48"/>
    <d v="2025-02-21T00:00:00"/>
    <x v="1"/>
    <x v="1"/>
    <x v="0"/>
    <x v="0"/>
    <x v="10"/>
    <x v="2"/>
    <x v="7"/>
    <x v="1"/>
  </r>
  <r>
    <x v="1273"/>
    <x v="12"/>
    <x v="13"/>
    <n v="60.1"/>
    <n v="360.6"/>
    <x v="48"/>
    <d v="2025-02-18T00:00:00"/>
    <x v="2"/>
    <x v="3"/>
    <x v="0"/>
    <x v="0"/>
    <x v="11"/>
    <x v="7"/>
    <x v="7"/>
    <x v="2"/>
  </r>
  <r>
    <x v="1274"/>
    <x v="2"/>
    <x v="3"/>
    <n v="87.5"/>
    <n v="612.5"/>
    <x v="48"/>
    <d v="2025-02-20T00:00:00"/>
    <x v="2"/>
    <x v="0"/>
    <x v="1"/>
    <x v="0"/>
    <x v="11"/>
    <x v="1"/>
    <x v="7"/>
    <x v="2"/>
  </r>
  <r>
    <x v="1275"/>
    <x v="1"/>
    <x v="2"/>
    <n v="51"/>
    <n v="153"/>
    <x v="48"/>
    <d v="2025-02-19T00:00:00"/>
    <x v="2"/>
    <x v="1"/>
    <x v="0"/>
    <x v="0"/>
    <x v="11"/>
    <x v="3"/>
    <x v="7"/>
    <x v="2"/>
  </r>
  <r>
    <x v="1276"/>
    <x v="8"/>
    <x v="12"/>
    <n v="19.2"/>
    <n v="76.8"/>
    <x v="48"/>
    <d v="2025-02-20T00:00:00"/>
    <x v="2"/>
    <x v="0"/>
    <x v="0"/>
    <x v="0"/>
    <x v="11"/>
    <x v="1"/>
    <x v="7"/>
    <x v="2"/>
  </r>
  <r>
    <x v="1277"/>
    <x v="5"/>
    <x v="8"/>
    <n v="26.5"/>
    <n v="212"/>
    <x v="48"/>
    <d v="2025-02-19T00:00:00"/>
    <x v="0"/>
    <x v="3"/>
    <x v="2"/>
    <x v="0"/>
    <x v="11"/>
    <x v="3"/>
    <x v="7"/>
    <x v="0"/>
  </r>
  <r>
    <x v="1278"/>
    <x v="2"/>
    <x v="1"/>
    <n v="220.3"/>
    <n v="440.6"/>
    <x v="48"/>
    <d v="2025-02-19T00:00:00"/>
    <x v="2"/>
    <x v="1"/>
    <x v="4"/>
    <x v="0"/>
    <x v="53"/>
    <x v="3"/>
    <x v="7"/>
    <x v="2"/>
  </r>
  <r>
    <x v="1279"/>
    <x v="8"/>
    <x v="2"/>
    <n v="45.7"/>
    <n v="137.10000000000002"/>
    <x v="48"/>
    <d v="2025-02-19T00:00:00"/>
    <x v="2"/>
    <x v="4"/>
    <x v="0"/>
    <x v="0"/>
    <x v="30"/>
    <x v="3"/>
    <x v="7"/>
    <x v="2"/>
  </r>
  <r>
    <x v="1280"/>
    <x v="5"/>
    <x v="9"/>
    <n v="47.1"/>
    <n v="235.5"/>
    <x v="48"/>
    <d v="2025-02-22T00:00:00"/>
    <x v="2"/>
    <x v="3"/>
    <x v="0"/>
    <x v="0"/>
    <x v="13"/>
    <x v="5"/>
    <x v="7"/>
    <x v="2"/>
  </r>
  <r>
    <x v="1281"/>
    <x v="1"/>
    <x v="9"/>
    <n v="81.7"/>
    <n v="408.5"/>
    <x v="48"/>
    <d v="2025-02-19T00:00:00"/>
    <x v="2"/>
    <x v="0"/>
    <x v="2"/>
    <x v="0"/>
    <x v="21"/>
    <x v="3"/>
    <x v="7"/>
    <x v="2"/>
  </r>
  <r>
    <x v="1282"/>
    <x v="6"/>
    <x v="7"/>
    <n v="97.8"/>
    <n v="978"/>
    <x v="48"/>
    <d v="2025-02-18T00:00:00"/>
    <x v="1"/>
    <x v="1"/>
    <x v="1"/>
    <x v="0"/>
    <x v="21"/>
    <x v="7"/>
    <x v="7"/>
    <x v="1"/>
  </r>
  <r>
    <x v="1283"/>
    <x v="6"/>
    <x v="2"/>
    <n v="42.4"/>
    <n v="127.19999999999999"/>
    <x v="48"/>
    <d v="2025-02-19T00:00:00"/>
    <x v="2"/>
    <x v="0"/>
    <x v="2"/>
    <x v="0"/>
    <x v="54"/>
    <x v="3"/>
    <x v="7"/>
    <x v="2"/>
  </r>
  <r>
    <x v="1284"/>
    <x v="2"/>
    <x v="7"/>
    <n v="74.5"/>
    <n v="745"/>
    <x v="48"/>
    <d v="2025-02-19T00:00:00"/>
    <x v="1"/>
    <x v="2"/>
    <x v="1"/>
    <x v="0"/>
    <x v="1"/>
    <x v="3"/>
    <x v="7"/>
    <x v="1"/>
  </r>
  <r>
    <x v="1285"/>
    <x v="17"/>
    <x v="13"/>
    <n v="47.4"/>
    <n v="284.39999999999998"/>
    <x v="48"/>
    <d v="2025-02-19T00:00:00"/>
    <x v="1"/>
    <x v="1"/>
    <x v="0"/>
    <x v="0"/>
    <x v="1"/>
    <x v="3"/>
    <x v="7"/>
    <x v="1"/>
  </r>
  <r>
    <x v="1286"/>
    <x v="14"/>
    <x v="2"/>
    <n v="17.3"/>
    <n v="51.900000000000006"/>
    <x v="49"/>
    <d v="2025-02-22T00:00:00"/>
    <x v="1"/>
    <x v="2"/>
    <x v="2"/>
    <x v="0"/>
    <x v="1"/>
    <x v="2"/>
    <x v="7"/>
    <x v="1"/>
  </r>
  <r>
    <x v="1287"/>
    <x v="12"/>
    <x v="12"/>
    <n v="77.900000000000006"/>
    <n v="311.60000000000002"/>
    <x v="49"/>
    <d v="2025-02-20T00:00:00"/>
    <x v="1"/>
    <x v="1"/>
    <x v="0"/>
    <x v="0"/>
    <x v="2"/>
    <x v="3"/>
    <x v="7"/>
    <x v="1"/>
  </r>
  <r>
    <x v="1288"/>
    <x v="8"/>
    <x v="0"/>
    <n v="29.1"/>
    <n v="29.1"/>
    <x v="49"/>
    <d v="2025-02-22T00:00:00"/>
    <x v="1"/>
    <x v="0"/>
    <x v="2"/>
    <x v="0"/>
    <x v="50"/>
    <x v="2"/>
    <x v="7"/>
    <x v="1"/>
  </r>
  <r>
    <x v="1289"/>
    <x v="8"/>
    <x v="0"/>
    <n v="49"/>
    <n v="49"/>
    <x v="49"/>
    <d v="2025-02-20T00:00:00"/>
    <x v="1"/>
    <x v="1"/>
    <x v="0"/>
    <x v="0"/>
    <x v="3"/>
    <x v="3"/>
    <x v="7"/>
    <x v="1"/>
  </r>
  <r>
    <x v="1290"/>
    <x v="8"/>
    <x v="13"/>
    <n v="21.1"/>
    <n v="126.60000000000001"/>
    <x v="49"/>
    <d v="2025-02-26T00:00:00"/>
    <x v="1"/>
    <x v="0"/>
    <x v="2"/>
    <x v="0"/>
    <x v="3"/>
    <x v="6"/>
    <x v="7"/>
    <x v="1"/>
  </r>
  <r>
    <x v="1291"/>
    <x v="4"/>
    <x v="10"/>
    <n v="36.9"/>
    <n v="701.1"/>
    <x v="49"/>
    <d v="2025-02-19T00:00:00"/>
    <x v="2"/>
    <x v="0"/>
    <x v="0"/>
    <x v="0"/>
    <x v="3"/>
    <x v="7"/>
    <x v="7"/>
    <x v="2"/>
  </r>
  <r>
    <x v="1292"/>
    <x v="1"/>
    <x v="7"/>
    <n v="92.6"/>
    <n v="926"/>
    <x v="49"/>
    <d v="2025-02-24T00:00:00"/>
    <x v="1"/>
    <x v="4"/>
    <x v="2"/>
    <x v="0"/>
    <x v="3"/>
    <x v="0"/>
    <x v="7"/>
    <x v="1"/>
  </r>
  <r>
    <x v="1293"/>
    <x v="10"/>
    <x v="1"/>
    <n v="38"/>
    <n v="76"/>
    <x v="49"/>
    <d v="2025-02-20T00:00:00"/>
    <x v="1"/>
    <x v="1"/>
    <x v="1"/>
    <x v="0"/>
    <x v="3"/>
    <x v="3"/>
    <x v="7"/>
    <x v="1"/>
  </r>
  <r>
    <x v="1294"/>
    <x v="5"/>
    <x v="2"/>
    <n v="54.8"/>
    <n v="164.39999999999998"/>
    <x v="49"/>
    <d v="2025-02-23T00:00:00"/>
    <x v="0"/>
    <x v="0"/>
    <x v="1"/>
    <x v="0"/>
    <x v="3"/>
    <x v="5"/>
    <x v="7"/>
    <x v="0"/>
  </r>
  <r>
    <x v="1295"/>
    <x v="10"/>
    <x v="4"/>
    <n v="56.8"/>
    <n v="681.59999999999991"/>
    <x v="49"/>
    <d v="2025-02-21T00:00:00"/>
    <x v="1"/>
    <x v="1"/>
    <x v="0"/>
    <x v="0"/>
    <x v="3"/>
    <x v="1"/>
    <x v="7"/>
    <x v="1"/>
  </r>
  <r>
    <x v="1296"/>
    <x v="11"/>
    <x v="40"/>
    <n v="47.2"/>
    <n v="1557.6000000000001"/>
    <x v="49"/>
    <d v="2025-02-22T00:00:00"/>
    <x v="2"/>
    <x v="1"/>
    <x v="0"/>
    <x v="0"/>
    <x v="3"/>
    <x v="2"/>
    <x v="7"/>
    <x v="2"/>
  </r>
  <r>
    <x v="1297"/>
    <x v="7"/>
    <x v="13"/>
    <n v="45.1"/>
    <n v="270.60000000000002"/>
    <x v="49"/>
    <d v="2025-02-20T00:00:00"/>
    <x v="2"/>
    <x v="2"/>
    <x v="0"/>
    <x v="0"/>
    <x v="43"/>
    <x v="3"/>
    <x v="7"/>
    <x v="2"/>
  </r>
  <r>
    <x v="1298"/>
    <x v="4"/>
    <x v="4"/>
    <n v="25.2"/>
    <n v="302.39999999999998"/>
    <x v="49"/>
    <d v="2025-02-24T00:00:00"/>
    <x v="2"/>
    <x v="2"/>
    <x v="0"/>
    <x v="0"/>
    <x v="16"/>
    <x v="0"/>
    <x v="7"/>
    <x v="2"/>
  </r>
  <r>
    <x v="1299"/>
    <x v="8"/>
    <x v="0"/>
    <n v="22"/>
    <n v="22"/>
    <x v="49"/>
    <d v="2025-02-20T00:00:00"/>
    <x v="2"/>
    <x v="0"/>
    <x v="0"/>
    <x v="0"/>
    <x v="5"/>
    <x v="3"/>
    <x v="7"/>
    <x v="2"/>
  </r>
  <r>
    <x v="1300"/>
    <x v="6"/>
    <x v="1"/>
    <n v="42.2"/>
    <n v="84.4"/>
    <x v="49"/>
    <d v="2025-02-20T00:00:00"/>
    <x v="2"/>
    <x v="1"/>
    <x v="1"/>
    <x v="0"/>
    <x v="23"/>
    <x v="3"/>
    <x v="7"/>
    <x v="2"/>
  </r>
  <r>
    <x v="1301"/>
    <x v="13"/>
    <x v="2"/>
    <n v="20.5"/>
    <n v="61.5"/>
    <x v="49"/>
    <d v="2025-02-20T00:00:00"/>
    <x v="1"/>
    <x v="0"/>
    <x v="1"/>
    <x v="0"/>
    <x v="6"/>
    <x v="3"/>
    <x v="7"/>
    <x v="1"/>
  </r>
  <r>
    <x v="1302"/>
    <x v="2"/>
    <x v="0"/>
    <n v="190.4"/>
    <n v="190.4"/>
    <x v="49"/>
    <d v="2025-02-24T00:00:00"/>
    <x v="1"/>
    <x v="1"/>
    <x v="4"/>
    <x v="0"/>
    <x v="6"/>
    <x v="0"/>
    <x v="7"/>
    <x v="1"/>
  </r>
  <r>
    <x v="1303"/>
    <x v="2"/>
    <x v="0"/>
    <n v="121.9"/>
    <n v="121.9"/>
    <x v="49"/>
    <d v="2025-02-21T00:00:00"/>
    <x v="2"/>
    <x v="1"/>
    <x v="2"/>
    <x v="0"/>
    <x v="6"/>
    <x v="1"/>
    <x v="7"/>
    <x v="2"/>
  </r>
  <r>
    <x v="1304"/>
    <x v="2"/>
    <x v="13"/>
    <n v="149.19999999999999"/>
    <n v="895.19999999999993"/>
    <x v="49"/>
    <d v="2025-02-20T00:00:00"/>
    <x v="2"/>
    <x v="2"/>
    <x v="2"/>
    <x v="0"/>
    <x v="7"/>
    <x v="3"/>
    <x v="7"/>
    <x v="2"/>
  </r>
  <r>
    <x v="1305"/>
    <x v="2"/>
    <x v="0"/>
    <n v="54.1"/>
    <n v="54.1"/>
    <x v="49"/>
    <d v="2025-02-28T00:00:00"/>
    <x v="2"/>
    <x v="2"/>
    <x v="2"/>
    <x v="0"/>
    <x v="7"/>
    <x v="8"/>
    <x v="7"/>
    <x v="2"/>
  </r>
  <r>
    <x v="1306"/>
    <x v="5"/>
    <x v="1"/>
    <n v="27.4"/>
    <n v="54.8"/>
    <x v="49"/>
    <d v="2025-02-21T00:00:00"/>
    <x v="1"/>
    <x v="1"/>
    <x v="0"/>
    <x v="0"/>
    <x v="8"/>
    <x v="1"/>
    <x v="7"/>
    <x v="1"/>
  </r>
  <r>
    <x v="1307"/>
    <x v="0"/>
    <x v="15"/>
    <n v="30.4"/>
    <n v="395.2"/>
    <x v="49"/>
    <d v="2025-02-20T00:00:00"/>
    <x v="2"/>
    <x v="0"/>
    <x v="2"/>
    <x v="0"/>
    <x v="8"/>
    <x v="3"/>
    <x v="7"/>
    <x v="2"/>
  </r>
  <r>
    <x v="1308"/>
    <x v="12"/>
    <x v="2"/>
    <n v="46.2"/>
    <n v="138.60000000000002"/>
    <x v="49"/>
    <d v="2025-02-21T00:00:00"/>
    <x v="1"/>
    <x v="2"/>
    <x v="1"/>
    <x v="0"/>
    <x v="17"/>
    <x v="1"/>
    <x v="7"/>
    <x v="1"/>
  </r>
  <r>
    <x v="1309"/>
    <x v="7"/>
    <x v="8"/>
    <n v="78.599999999999994"/>
    <n v="628.79999999999995"/>
    <x v="49"/>
    <d v="2025-02-23T00:00:00"/>
    <x v="1"/>
    <x v="3"/>
    <x v="0"/>
    <x v="0"/>
    <x v="17"/>
    <x v="5"/>
    <x v="7"/>
    <x v="1"/>
  </r>
  <r>
    <x v="1310"/>
    <x v="17"/>
    <x v="7"/>
    <n v="25.9"/>
    <n v="259"/>
    <x v="49"/>
    <d v="2025-02-25T00:00:00"/>
    <x v="1"/>
    <x v="4"/>
    <x v="0"/>
    <x v="0"/>
    <x v="9"/>
    <x v="4"/>
    <x v="7"/>
    <x v="1"/>
  </r>
  <r>
    <x v="1311"/>
    <x v="6"/>
    <x v="0"/>
    <n v="134.80000000000001"/>
    <n v="134.80000000000001"/>
    <x v="49"/>
    <d v="2025-02-21T00:00:00"/>
    <x v="1"/>
    <x v="2"/>
    <x v="2"/>
    <x v="0"/>
    <x v="9"/>
    <x v="1"/>
    <x v="7"/>
    <x v="1"/>
  </r>
  <r>
    <x v="1312"/>
    <x v="15"/>
    <x v="9"/>
    <n v="43.1"/>
    <n v="215.5"/>
    <x v="49"/>
    <d v="2025-02-21T00:00:00"/>
    <x v="2"/>
    <x v="0"/>
    <x v="0"/>
    <x v="0"/>
    <x v="11"/>
    <x v="1"/>
    <x v="7"/>
    <x v="2"/>
  </r>
  <r>
    <x v="1313"/>
    <x v="2"/>
    <x v="1"/>
    <n v="215.6"/>
    <n v="431.2"/>
    <x v="49"/>
    <d v="2025-02-20T00:00:00"/>
    <x v="2"/>
    <x v="2"/>
    <x v="0"/>
    <x v="0"/>
    <x v="18"/>
    <x v="3"/>
    <x v="7"/>
    <x v="2"/>
  </r>
  <r>
    <x v="1314"/>
    <x v="6"/>
    <x v="1"/>
    <n v="80.7"/>
    <n v="161.4"/>
    <x v="49"/>
    <d v="2025-02-22T00:00:00"/>
    <x v="2"/>
    <x v="3"/>
    <x v="0"/>
    <x v="0"/>
    <x v="18"/>
    <x v="2"/>
    <x v="7"/>
    <x v="2"/>
  </r>
  <r>
    <x v="1315"/>
    <x v="10"/>
    <x v="3"/>
    <n v="20.6"/>
    <n v="144.20000000000002"/>
    <x v="49"/>
    <d v="2025-02-24T00:00:00"/>
    <x v="0"/>
    <x v="2"/>
    <x v="1"/>
    <x v="0"/>
    <x v="19"/>
    <x v="0"/>
    <x v="7"/>
    <x v="0"/>
  </r>
  <r>
    <x v="1316"/>
    <x v="12"/>
    <x v="2"/>
    <n v="37.1"/>
    <n v="111.30000000000001"/>
    <x v="49"/>
    <d v="2025-02-20T00:00:00"/>
    <x v="2"/>
    <x v="0"/>
    <x v="0"/>
    <x v="0"/>
    <x v="52"/>
    <x v="3"/>
    <x v="7"/>
    <x v="2"/>
  </r>
  <r>
    <x v="1317"/>
    <x v="12"/>
    <x v="0"/>
    <n v="104.8"/>
    <n v="104.8"/>
    <x v="50"/>
    <d v="2025-02-22T00:00:00"/>
    <x v="2"/>
    <x v="0"/>
    <x v="0"/>
    <x v="0"/>
    <x v="13"/>
    <x v="1"/>
    <x v="7"/>
    <x v="2"/>
  </r>
  <r>
    <x v="1318"/>
    <x v="8"/>
    <x v="1"/>
    <n v="59"/>
    <n v="118"/>
    <x v="50"/>
    <d v="2025-02-21T00:00:00"/>
    <x v="1"/>
    <x v="1"/>
    <x v="0"/>
    <x v="0"/>
    <x v="21"/>
    <x v="3"/>
    <x v="7"/>
    <x v="1"/>
  </r>
  <r>
    <x v="1319"/>
    <x v="8"/>
    <x v="1"/>
    <n v="32.299999999999997"/>
    <n v="64.599999999999994"/>
    <x v="50"/>
    <d v="2025-02-21T00:00:00"/>
    <x v="1"/>
    <x v="0"/>
    <x v="2"/>
    <x v="0"/>
    <x v="21"/>
    <x v="3"/>
    <x v="7"/>
    <x v="1"/>
  </r>
  <r>
    <x v="1320"/>
    <x v="8"/>
    <x v="12"/>
    <n v="28.9"/>
    <n v="115.6"/>
    <x v="50"/>
    <d v="2025-02-27T00:00:00"/>
    <x v="1"/>
    <x v="0"/>
    <x v="0"/>
    <x v="0"/>
    <x v="1"/>
    <x v="6"/>
    <x v="7"/>
    <x v="1"/>
  </r>
  <r>
    <x v="1321"/>
    <x v="0"/>
    <x v="1"/>
    <n v="29.6"/>
    <n v="59.2"/>
    <x v="50"/>
    <d v="2025-02-22T00:00:00"/>
    <x v="1"/>
    <x v="0"/>
    <x v="0"/>
    <x v="0"/>
    <x v="1"/>
    <x v="1"/>
    <x v="7"/>
    <x v="1"/>
  </r>
  <r>
    <x v="1322"/>
    <x v="0"/>
    <x v="9"/>
    <n v="29.4"/>
    <n v="147"/>
    <x v="50"/>
    <d v="2025-02-23T00:00:00"/>
    <x v="2"/>
    <x v="0"/>
    <x v="0"/>
    <x v="0"/>
    <x v="1"/>
    <x v="2"/>
    <x v="7"/>
    <x v="2"/>
  </r>
  <r>
    <x v="1323"/>
    <x v="1"/>
    <x v="1"/>
    <n v="40.6"/>
    <n v="81.2"/>
    <x v="50"/>
    <d v="2025-02-21T00:00:00"/>
    <x v="1"/>
    <x v="0"/>
    <x v="4"/>
    <x v="0"/>
    <x v="2"/>
    <x v="3"/>
    <x v="7"/>
    <x v="1"/>
  </r>
  <r>
    <x v="1324"/>
    <x v="0"/>
    <x v="2"/>
    <n v="32.5"/>
    <n v="97.5"/>
    <x v="50"/>
    <d v="2025-02-21T00:00:00"/>
    <x v="1"/>
    <x v="3"/>
    <x v="2"/>
    <x v="0"/>
    <x v="22"/>
    <x v="3"/>
    <x v="7"/>
    <x v="1"/>
  </r>
  <r>
    <x v="1325"/>
    <x v="15"/>
    <x v="0"/>
    <n v="26.2"/>
    <n v="26.2"/>
    <x v="50"/>
    <d v="2025-02-22T00:00:00"/>
    <x v="1"/>
    <x v="2"/>
    <x v="0"/>
    <x v="0"/>
    <x v="55"/>
    <x v="1"/>
    <x v="7"/>
    <x v="1"/>
  </r>
  <r>
    <x v="1326"/>
    <x v="10"/>
    <x v="17"/>
    <n v="44"/>
    <n v="1320"/>
    <x v="50"/>
    <d v="2025-02-26T00:00:00"/>
    <x v="1"/>
    <x v="4"/>
    <x v="0"/>
    <x v="0"/>
    <x v="3"/>
    <x v="4"/>
    <x v="7"/>
    <x v="1"/>
  </r>
  <r>
    <x v="1327"/>
    <x v="7"/>
    <x v="12"/>
    <n v="65.599999999999994"/>
    <n v="262.39999999999998"/>
    <x v="50"/>
    <d v="2025-02-21T00:00:00"/>
    <x v="2"/>
    <x v="1"/>
    <x v="1"/>
    <x v="0"/>
    <x v="3"/>
    <x v="3"/>
    <x v="7"/>
    <x v="2"/>
  </r>
  <r>
    <x v="1328"/>
    <x v="5"/>
    <x v="4"/>
    <n v="32.6"/>
    <n v="391.20000000000005"/>
    <x v="50"/>
    <d v="2025-02-21T00:00:00"/>
    <x v="1"/>
    <x v="4"/>
    <x v="0"/>
    <x v="0"/>
    <x v="3"/>
    <x v="3"/>
    <x v="7"/>
    <x v="1"/>
  </r>
  <r>
    <x v="1329"/>
    <x v="16"/>
    <x v="1"/>
    <n v="88.7"/>
    <n v="177.4"/>
    <x v="50"/>
    <d v="2025-02-21T00:00:00"/>
    <x v="0"/>
    <x v="3"/>
    <x v="2"/>
    <x v="0"/>
    <x v="3"/>
    <x v="3"/>
    <x v="7"/>
    <x v="0"/>
  </r>
  <r>
    <x v="1330"/>
    <x v="4"/>
    <x v="1"/>
    <n v="21.3"/>
    <n v="42.6"/>
    <x v="50"/>
    <d v="2025-02-21T00:00:00"/>
    <x v="1"/>
    <x v="0"/>
    <x v="0"/>
    <x v="0"/>
    <x v="3"/>
    <x v="3"/>
    <x v="7"/>
    <x v="1"/>
  </r>
  <r>
    <x v="1331"/>
    <x v="4"/>
    <x v="13"/>
    <n v="50.6"/>
    <n v="303.60000000000002"/>
    <x v="50"/>
    <d v="2025-02-24T00:00:00"/>
    <x v="2"/>
    <x v="2"/>
    <x v="0"/>
    <x v="0"/>
    <x v="3"/>
    <x v="5"/>
    <x v="7"/>
    <x v="2"/>
  </r>
  <r>
    <x v="1332"/>
    <x v="9"/>
    <x v="38"/>
    <n v="86.9"/>
    <n v="1824.9"/>
    <x v="50"/>
    <d v="2025-02-23T00:00:00"/>
    <x v="2"/>
    <x v="0"/>
    <x v="1"/>
    <x v="0"/>
    <x v="3"/>
    <x v="2"/>
    <x v="7"/>
    <x v="2"/>
  </r>
  <r>
    <x v="1333"/>
    <x v="11"/>
    <x v="2"/>
    <n v="31.8"/>
    <n v="95.4"/>
    <x v="50"/>
    <d v="2025-02-22T00:00:00"/>
    <x v="1"/>
    <x v="0"/>
    <x v="2"/>
    <x v="0"/>
    <x v="3"/>
    <x v="1"/>
    <x v="7"/>
    <x v="1"/>
  </r>
  <r>
    <x v="1334"/>
    <x v="8"/>
    <x v="0"/>
    <n v="19"/>
    <n v="19"/>
    <x v="50"/>
    <d v="2025-02-21T00:00:00"/>
    <x v="2"/>
    <x v="0"/>
    <x v="2"/>
    <x v="0"/>
    <x v="3"/>
    <x v="3"/>
    <x v="7"/>
    <x v="2"/>
  </r>
  <r>
    <x v="1335"/>
    <x v="5"/>
    <x v="0"/>
    <n v="54.5"/>
    <n v="54.5"/>
    <x v="50"/>
    <d v="2025-02-22T00:00:00"/>
    <x v="1"/>
    <x v="0"/>
    <x v="0"/>
    <x v="0"/>
    <x v="3"/>
    <x v="1"/>
    <x v="7"/>
    <x v="1"/>
  </r>
  <r>
    <x v="1336"/>
    <x v="9"/>
    <x v="9"/>
    <n v="68.900000000000006"/>
    <n v="344.5"/>
    <x v="50"/>
    <d v="2025-02-22T00:00:00"/>
    <x v="1"/>
    <x v="4"/>
    <x v="1"/>
    <x v="0"/>
    <x v="3"/>
    <x v="1"/>
    <x v="7"/>
    <x v="1"/>
  </r>
  <r>
    <x v="1337"/>
    <x v="6"/>
    <x v="2"/>
    <n v="84"/>
    <n v="252"/>
    <x v="50"/>
    <d v="2025-02-21T00:00:00"/>
    <x v="1"/>
    <x v="1"/>
    <x v="4"/>
    <x v="0"/>
    <x v="16"/>
    <x v="3"/>
    <x v="7"/>
    <x v="1"/>
  </r>
  <r>
    <x v="1338"/>
    <x v="15"/>
    <x v="8"/>
    <n v="23.1"/>
    <n v="184.8"/>
    <x v="50"/>
    <d v="2025-02-25T00:00:00"/>
    <x v="1"/>
    <x v="0"/>
    <x v="2"/>
    <x v="0"/>
    <x v="23"/>
    <x v="0"/>
    <x v="7"/>
    <x v="1"/>
  </r>
  <r>
    <x v="1339"/>
    <x v="7"/>
    <x v="1"/>
    <n v="62.4"/>
    <n v="124.8"/>
    <x v="50"/>
    <d v="2025-02-21T00:00:00"/>
    <x v="2"/>
    <x v="0"/>
    <x v="1"/>
    <x v="0"/>
    <x v="6"/>
    <x v="3"/>
    <x v="7"/>
    <x v="2"/>
  </r>
  <r>
    <x v="1340"/>
    <x v="6"/>
    <x v="4"/>
    <n v="40.700000000000003"/>
    <n v="488.40000000000003"/>
    <x v="50"/>
    <d v="2025-02-22T00:00:00"/>
    <x v="1"/>
    <x v="1"/>
    <x v="2"/>
    <x v="0"/>
    <x v="6"/>
    <x v="1"/>
    <x v="7"/>
    <x v="1"/>
  </r>
  <r>
    <x v="1341"/>
    <x v="6"/>
    <x v="0"/>
    <n v="49.6"/>
    <n v="49.6"/>
    <x v="50"/>
    <d v="2025-02-23T00:00:00"/>
    <x v="1"/>
    <x v="2"/>
    <x v="0"/>
    <x v="0"/>
    <x v="7"/>
    <x v="2"/>
    <x v="7"/>
    <x v="1"/>
  </r>
  <r>
    <x v="1342"/>
    <x v="7"/>
    <x v="41"/>
    <n v="66.599999999999994"/>
    <n v="2996.9999999999995"/>
    <x v="50"/>
    <d v="2025-02-23T00:00:00"/>
    <x v="1"/>
    <x v="2"/>
    <x v="0"/>
    <x v="0"/>
    <x v="8"/>
    <x v="2"/>
    <x v="7"/>
    <x v="1"/>
  </r>
  <r>
    <x v="1343"/>
    <x v="8"/>
    <x v="2"/>
    <n v="26.4"/>
    <n v="79.199999999999989"/>
    <x v="50"/>
    <d v="2025-02-21T00:00:00"/>
    <x v="2"/>
    <x v="1"/>
    <x v="1"/>
    <x v="0"/>
    <x v="8"/>
    <x v="3"/>
    <x v="7"/>
    <x v="2"/>
  </r>
  <r>
    <x v="1344"/>
    <x v="0"/>
    <x v="1"/>
    <n v="17.2"/>
    <n v="34.4"/>
    <x v="50"/>
    <d v="2025-02-23T00:00:00"/>
    <x v="1"/>
    <x v="2"/>
    <x v="1"/>
    <x v="0"/>
    <x v="8"/>
    <x v="2"/>
    <x v="7"/>
    <x v="1"/>
  </r>
  <r>
    <x v="1345"/>
    <x v="5"/>
    <x v="8"/>
    <n v="58.1"/>
    <n v="464.8"/>
    <x v="50"/>
    <d v="2025-02-23T00:00:00"/>
    <x v="2"/>
    <x v="4"/>
    <x v="0"/>
    <x v="0"/>
    <x v="8"/>
    <x v="2"/>
    <x v="7"/>
    <x v="2"/>
  </r>
  <r>
    <x v="1346"/>
    <x v="15"/>
    <x v="12"/>
    <n v="31.5"/>
    <n v="126"/>
    <x v="50"/>
    <d v="2025-02-23T00:00:00"/>
    <x v="2"/>
    <x v="4"/>
    <x v="4"/>
    <x v="0"/>
    <x v="8"/>
    <x v="2"/>
    <x v="7"/>
    <x v="2"/>
  </r>
  <r>
    <x v="1347"/>
    <x v="0"/>
    <x v="0"/>
    <n v="27.1"/>
    <n v="27.1"/>
    <x v="50"/>
    <d v="2025-02-22T00:00:00"/>
    <x v="2"/>
    <x v="0"/>
    <x v="1"/>
    <x v="0"/>
    <x v="17"/>
    <x v="1"/>
    <x v="7"/>
    <x v="2"/>
  </r>
  <r>
    <x v="1348"/>
    <x v="18"/>
    <x v="12"/>
    <n v="28.5"/>
    <n v="114"/>
    <x v="50"/>
    <d v="2025-02-22T00:00:00"/>
    <x v="1"/>
    <x v="1"/>
    <x v="2"/>
    <x v="0"/>
    <x v="9"/>
    <x v="1"/>
    <x v="7"/>
    <x v="1"/>
  </r>
  <r>
    <x v="1349"/>
    <x v="10"/>
    <x v="0"/>
    <n v="40.5"/>
    <n v="40.5"/>
    <x v="51"/>
    <d v="2025-02-23T00:00:00"/>
    <x v="3"/>
    <x v="2"/>
    <x v="0"/>
    <x v="0"/>
    <x v="9"/>
    <x v="1"/>
    <x v="7"/>
    <x v="3"/>
  </r>
  <r>
    <x v="1350"/>
    <x v="2"/>
    <x v="2"/>
    <n v="77.900000000000006"/>
    <n v="233.70000000000002"/>
    <x v="51"/>
    <d v="2025-02-25T00:00:00"/>
    <x v="2"/>
    <x v="1"/>
    <x v="2"/>
    <x v="0"/>
    <x v="19"/>
    <x v="5"/>
    <x v="7"/>
    <x v="2"/>
  </r>
  <r>
    <x v="1351"/>
    <x v="18"/>
    <x v="12"/>
    <n v="37.1"/>
    <n v="148.4"/>
    <x v="51"/>
    <d v="2025-02-23T00:00:00"/>
    <x v="1"/>
    <x v="4"/>
    <x v="2"/>
    <x v="0"/>
    <x v="19"/>
    <x v="1"/>
    <x v="7"/>
    <x v="1"/>
  </r>
  <r>
    <x v="1352"/>
    <x v="16"/>
    <x v="2"/>
    <n v="51.6"/>
    <n v="154.80000000000001"/>
    <x v="51"/>
    <d v="2025-03-01T00:00:00"/>
    <x v="2"/>
    <x v="0"/>
    <x v="4"/>
    <x v="0"/>
    <x v="19"/>
    <x v="9"/>
    <x v="7"/>
    <x v="2"/>
  </r>
  <r>
    <x v="1353"/>
    <x v="7"/>
    <x v="2"/>
    <n v="98"/>
    <n v="294"/>
    <x v="51"/>
    <d v="2025-02-22T00:00:00"/>
    <x v="1"/>
    <x v="1"/>
    <x v="1"/>
    <x v="0"/>
    <x v="19"/>
    <x v="3"/>
    <x v="7"/>
    <x v="1"/>
  </r>
  <r>
    <x v="1354"/>
    <x v="6"/>
    <x v="3"/>
    <n v="41.4"/>
    <n v="289.8"/>
    <x v="51"/>
    <d v="2025-02-22T00:00:00"/>
    <x v="1"/>
    <x v="1"/>
    <x v="0"/>
    <x v="0"/>
    <x v="20"/>
    <x v="3"/>
    <x v="7"/>
    <x v="1"/>
  </r>
  <r>
    <x v="1355"/>
    <x v="11"/>
    <x v="8"/>
    <n v="34"/>
    <n v="272"/>
    <x v="51"/>
    <d v="2025-02-26T00:00:00"/>
    <x v="2"/>
    <x v="0"/>
    <x v="2"/>
    <x v="0"/>
    <x v="52"/>
    <x v="0"/>
    <x v="7"/>
    <x v="2"/>
  </r>
  <r>
    <x v="1356"/>
    <x v="6"/>
    <x v="0"/>
    <n v="66.3"/>
    <n v="66.3"/>
    <x v="51"/>
    <d v="2025-02-22T00:00:00"/>
    <x v="2"/>
    <x v="1"/>
    <x v="0"/>
    <x v="0"/>
    <x v="13"/>
    <x v="3"/>
    <x v="7"/>
    <x v="2"/>
  </r>
  <r>
    <x v="1357"/>
    <x v="7"/>
    <x v="0"/>
    <n v="33.5"/>
    <n v="33.5"/>
    <x v="51"/>
    <d v="2025-02-25T00:00:00"/>
    <x v="1"/>
    <x v="2"/>
    <x v="0"/>
    <x v="0"/>
    <x v="13"/>
    <x v="5"/>
    <x v="7"/>
    <x v="1"/>
  </r>
  <r>
    <x v="1358"/>
    <x v="12"/>
    <x v="1"/>
    <n v="70.8"/>
    <n v="141.6"/>
    <x v="51"/>
    <d v="2025-02-22T00:00:00"/>
    <x v="0"/>
    <x v="0"/>
    <x v="0"/>
    <x v="0"/>
    <x v="28"/>
    <x v="3"/>
    <x v="7"/>
    <x v="0"/>
  </r>
  <r>
    <x v="1359"/>
    <x v="6"/>
    <x v="1"/>
    <n v="127.6"/>
    <n v="255.2"/>
    <x v="51"/>
    <d v="2025-02-22T00:00:00"/>
    <x v="1"/>
    <x v="0"/>
    <x v="0"/>
    <x v="0"/>
    <x v="21"/>
    <x v="3"/>
    <x v="7"/>
    <x v="1"/>
  </r>
  <r>
    <x v="1360"/>
    <x v="6"/>
    <x v="2"/>
    <n v="95.9"/>
    <n v="287.70000000000005"/>
    <x v="51"/>
    <d v="2025-02-22T00:00:00"/>
    <x v="2"/>
    <x v="1"/>
    <x v="1"/>
    <x v="0"/>
    <x v="21"/>
    <x v="3"/>
    <x v="7"/>
    <x v="2"/>
  </r>
  <r>
    <x v="1361"/>
    <x v="2"/>
    <x v="1"/>
    <n v="78.099999999999994"/>
    <n v="156.19999999999999"/>
    <x v="51"/>
    <d v="2025-02-22T00:00:00"/>
    <x v="1"/>
    <x v="0"/>
    <x v="0"/>
    <x v="0"/>
    <x v="1"/>
    <x v="3"/>
    <x v="7"/>
    <x v="1"/>
  </r>
  <r>
    <x v="1362"/>
    <x v="13"/>
    <x v="1"/>
    <n v="43.2"/>
    <n v="86.4"/>
    <x v="51"/>
    <d v="2025-02-22T00:00:00"/>
    <x v="0"/>
    <x v="1"/>
    <x v="1"/>
    <x v="0"/>
    <x v="1"/>
    <x v="3"/>
    <x v="7"/>
    <x v="0"/>
  </r>
  <r>
    <x v="1363"/>
    <x v="8"/>
    <x v="12"/>
    <n v="28.4"/>
    <n v="113.6"/>
    <x v="51"/>
    <d v="2025-02-27T00:00:00"/>
    <x v="1"/>
    <x v="2"/>
    <x v="0"/>
    <x v="0"/>
    <x v="3"/>
    <x v="4"/>
    <x v="7"/>
    <x v="1"/>
  </r>
  <r>
    <x v="1364"/>
    <x v="2"/>
    <x v="1"/>
    <n v="81.7"/>
    <n v="163.4"/>
    <x v="51"/>
    <d v="2025-02-21T00:00:00"/>
    <x v="1"/>
    <x v="0"/>
    <x v="0"/>
    <x v="0"/>
    <x v="3"/>
    <x v="7"/>
    <x v="7"/>
    <x v="1"/>
  </r>
  <r>
    <x v="1365"/>
    <x v="18"/>
    <x v="1"/>
    <n v="56.7"/>
    <n v="113.4"/>
    <x v="51"/>
    <d v="2025-02-23T00:00:00"/>
    <x v="0"/>
    <x v="0"/>
    <x v="2"/>
    <x v="0"/>
    <x v="3"/>
    <x v="1"/>
    <x v="7"/>
    <x v="0"/>
  </r>
  <r>
    <x v="1366"/>
    <x v="3"/>
    <x v="12"/>
    <n v="66.5"/>
    <n v="266"/>
    <x v="51"/>
    <d v="2025-02-21T00:00:00"/>
    <x v="2"/>
    <x v="0"/>
    <x v="2"/>
    <x v="0"/>
    <x v="3"/>
    <x v="7"/>
    <x v="7"/>
    <x v="2"/>
  </r>
  <r>
    <x v="1367"/>
    <x v="1"/>
    <x v="1"/>
    <n v="105.3"/>
    <n v="210.6"/>
    <x v="51"/>
    <d v="2025-02-25T00:00:00"/>
    <x v="1"/>
    <x v="0"/>
    <x v="1"/>
    <x v="0"/>
    <x v="3"/>
    <x v="5"/>
    <x v="7"/>
    <x v="1"/>
  </r>
  <r>
    <x v="1368"/>
    <x v="10"/>
    <x v="9"/>
    <n v="33.799999999999997"/>
    <n v="169"/>
    <x v="51"/>
    <d v="2025-02-26T00:00:00"/>
    <x v="1"/>
    <x v="0"/>
    <x v="0"/>
    <x v="0"/>
    <x v="3"/>
    <x v="0"/>
    <x v="7"/>
    <x v="1"/>
  </r>
  <r>
    <x v="1369"/>
    <x v="6"/>
    <x v="2"/>
    <n v="63.4"/>
    <n v="190.2"/>
    <x v="51"/>
    <d v="2025-02-26T00:00:00"/>
    <x v="1"/>
    <x v="3"/>
    <x v="1"/>
    <x v="0"/>
    <x v="24"/>
    <x v="0"/>
    <x v="7"/>
    <x v="1"/>
  </r>
  <r>
    <x v="1370"/>
    <x v="6"/>
    <x v="2"/>
    <n v="49"/>
    <n v="147"/>
    <x v="51"/>
    <d v="2025-02-25T00:00:00"/>
    <x v="1"/>
    <x v="3"/>
    <x v="0"/>
    <x v="0"/>
    <x v="49"/>
    <x v="5"/>
    <x v="7"/>
    <x v="1"/>
  </r>
  <r>
    <x v="1371"/>
    <x v="1"/>
    <x v="1"/>
    <n v="40"/>
    <n v="80"/>
    <x v="51"/>
    <d v="2025-02-22T00:00:00"/>
    <x v="2"/>
    <x v="4"/>
    <x v="1"/>
    <x v="0"/>
    <x v="23"/>
    <x v="3"/>
    <x v="7"/>
    <x v="2"/>
  </r>
  <r>
    <x v="1372"/>
    <x v="6"/>
    <x v="12"/>
    <n v="86.3"/>
    <n v="345.2"/>
    <x v="51"/>
    <d v="2025-02-22T00:00:00"/>
    <x v="3"/>
    <x v="0"/>
    <x v="0"/>
    <x v="0"/>
    <x v="6"/>
    <x v="3"/>
    <x v="7"/>
    <x v="3"/>
  </r>
  <r>
    <x v="1373"/>
    <x v="6"/>
    <x v="0"/>
    <n v="51.6"/>
    <n v="51.6"/>
    <x v="51"/>
    <d v="2025-02-23T00:00:00"/>
    <x v="2"/>
    <x v="2"/>
    <x v="2"/>
    <x v="0"/>
    <x v="6"/>
    <x v="1"/>
    <x v="7"/>
    <x v="2"/>
  </r>
  <r>
    <x v="1374"/>
    <x v="10"/>
    <x v="2"/>
    <n v="26.7"/>
    <n v="80.099999999999994"/>
    <x v="51"/>
    <d v="2025-02-26T00:00:00"/>
    <x v="2"/>
    <x v="2"/>
    <x v="1"/>
    <x v="0"/>
    <x v="6"/>
    <x v="0"/>
    <x v="7"/>
    <x v="2"/>
  </r>
  <r>
    <x v="1375"/>
    <x v="18"/>
    <x v="1"/>
    <n v="68.099999999999994"/>
    <n v="136.19999999999999"/>
    <x v="51"/>
    <d v="2025-02-22T00:00:00"/>
    <x v="1"/>
    <x v="0"/>
    <x v="1"/>
    <x v="0"/>
    <x v="6"/>
    <x v="3"/>
    <x v="7"/>
    <x v="1"/>
  </r>
  <r>
    <x v="1376"/>
    <x v="1"/>
    <x v="0"/>
    <n v="81.7"/>
    <n v="81.7"/>
    <x v="51"/>
    <d v="2025-02-22T00:00:00"/>
    <x v="1"/>
    <x v="0"/>
    <x v="0"/>
    <x v="0"/>
    <x v="7"/>
    <x v="3"/>
    <x v="7"/>
    <x v="1"/>
  </r>
  <r>
    <x v="1377"/>
    <x v="18"/>
    <x v="7"/>
    <n v="25.1"/>
    <n v="251"/>
    <x v="51"/>
    <d v="2025-02-24T00:00:00"/>
    <x v="1"/>
    <x v="3"/>
    <x v="1"/>
    <x v="0"/>
    <x v="8"/>
    <x v="2"/>
    <x v="7"/>
    <x v="1"/>
  </r>
  <r>
    <x v="1378"/>
    <x v="8"/>
    <x v="0"/>
    <n v="20.2"/>
    <n v="20.2"/>
    <x v="51"/>
    <d v="2025-02-25T00:00:00"/>
    <x v="2"/>
    <x v="0"/>
    <x v="0"/>
    <x v="0"/>
    <x v="8"/>
    <x v="5"/>
    <x v="7"/>
    <x v="2"/>
  </r>
  <r>
    <x v="1379"/>
    <x v="8"/>
    <x v="2"/>
    <n v="15.4"/>
    <n v="46.2"/>
    <x v="51"/>
    <d v="2025-02-22T00:00:00"/>
    <x v="1"/>
    <x v="1"/>
    <x v="2"/>
    <x v="0"/>
    <x v="8"/>
    <x v="3"/>
    <x v="7"/>
    <x v="1"/>
  </r>
  <r>
    <x v="1380"/>
    <x v="10"/>
    <x v="0"/>
    <n v="59.2"/>
    <n v="59.2"/>
    <x v="51"/>
    <d v="2025-02-22T00:00:00"/>
    <x v="1"/>
    <x v="2"/>
    <x v="2"/>
    <x v="0"/>
    <x v="17"/>
    <x v="3"/>
    <x v="7"/>
    <x v="1"/>
  </r>
  <r>
    <x v="1381"/>
    <x v="0"/>
    <x v="0"/>
    <n v="46.7"/>
    <n v="46.7"/>
    <x v="51"/>
    <d v="2025-02-26T00:00:00"/>
    <x v="1"/>
    <x v="0"/>
    <x v="0"/>
    <x v="0"/>
    <x v="17"/>
    <x v="0"/>
    <x v="7"/>
    <x v="1"/>
  </r>
  <r>
    <x v="1382"/>
    <x v="6"/>
    <x v="20"/>
    <n v="41.6"/>
    <n v="624"/>
    <x v="51"/>
    <d v="2025-02-23T00:00:00"/>
    <x v="1"/>
    <x v="1"/>
    <x v="0"/>
    <x v="0"/>
    <x v="26"/>
    <x v="1"/>
    <x v="7"/>
    <x v="1"/>
  </r>
  <r>
    <x v="1383"/>
    <x v="8"/>
    <x v="1"/>
    <n v="19.2"/>
    <n v="38.4"/>
    <x v="51"/>
    <d v="2025-02-24T00:00:00"/>
    <x v="1"/>
    <x v="4"/>
    <x v="2"/>
    <x v="0"/>
    <x v="9"/>
    <x v="2"/>
    <x v="7"/>
    <x v="1"/>
  </r>
  <r>
    <x v="1384"/>
    <x v="17"/>
    <x v="3"/>
    <n v="41.8"/>
    <n v="292.59999999999997"/>
    <x v="51"/>
    <d v="2025-02-23T00:00:00"/>
    <x v="2"/>
    <x v="2"/>
    <x v="0"/>
    <x v="0"/>
    <x v="11"/>
    <x v="1"/>
    <x v="7"/>
    <x v="2"/>
  </r>
  <r>
    <x v="1385"/>
    <x v="8"/>
    <x v="13"/>
    <n v="37.4"/>
    <n v="224.39999999999998"/>
    <x v="51"/>
    <d v="2025-02-23T00:00:00"/>
    <x v="1"/>
    <x v="0"/>
    <x v="2"/>
    <x v="0"/>
    <x v="11"/>
    <x v="1"/>
    <x v="7"/>
    <x v="1"/>
  </r>
  <r>
    <x v="1386"/>
    <x v="10"/>
    <x v="2"/>
    <n v="60.2"/>
    <n v="180.60000000000002"/>
    <x v="51"/>
    <d v="2025-02-24T00:00:00"/>
    <x v="1"/>
    <x v="4"/>
    <x v="1"/>
    <x v="0"/>
    <x v="38"/>
    <x v="2"/>
    <x v="7"/>
    <x v="1"/>
  </r>
  <r>
    <x v="1387"/>
    <x v="9"/>
    <x v="1"/>
    <n v="91.5"/>
    <n v="183"/>
    <x v="52"/>
    <d v="2025-02-23T00:00:00"/>
    <x v="1"/>
    <x v="0"/>
    <x v="0"/>
    <x v="0"/>
    <x v="13"/>
    <x v="3"/>
    <x v="7"/>
    <x v="1"/>
  </r>
  <r>
    <x v="1388"/>
    <x v="3"/>
    <x v="9"/>
    <n v="55.7"/>
    <n v="278.5"/>
    <x v="52"/>
    <d v="2025-02-24T00:00:00"/>
    <x v="0"/>
    <x v="1"/>
    <x v="2"/>
    <x v="0"/>
    <x v="21"/>
    <x v="1"/>
    <x v="7"/>
    <x v="0"/>
  </r>
  <r>
    <x v="1389"/>
    <x v="7"/>
    <x v="1"/>
    <n v="76.7"/>
    <n v="153.4"/>
    <x v="52"/>
    <d v="2025-02-24T00:00:00"/>
    <x v="1"/>
    <x v="0"/>
    <x v="1"/>
    <x v="0"/>
    <x v="21"/>
    <x v="1"/>
    <x v="7"/>
    <x v="1"/>
  </r>
  <r>
    <x v="1390"/>
    <x v="8"/>
    <x v="38"/>
    <n v="28.2"/>
    <n v="592.19999999999993"/>
    <x v="52"/>
    <d v="2025-02-27T00:00:00"/>
    <x v="1"/>
    <x v="2"/>
    <x v="0"/>
    <x v="0"/>
    <x v="1"/>
    <x v="0"/>
    <x v="7"/>
    <x v="1"/>
  </r>
  <r>
    <x v="1391"/>
    <x v="7"/>
    <x v="9"/>
    <n v="93.2"/>
    <n v="466"/>
    <x v="52"/>
    <d v="2025-02-24T00:00:00"/>
    <x v="2"/>
    <x v="4"/>
    <x v="2"/>
    <x v="0"/>
    <x v="1"/>
    <x v="1"/>
    <x v="7"/>
    <x v="2"/>
  </r>
  <r>
    <x v="1392"/>
    <x v="17"/>
    <x v="0"/>
    <n v="33.299999999999997"/>
    <n v="33.299999999999997"/>
    <x v="52"/>
    <d v="2025-02-23T00:00:00"/>
    <x v="1"/>
    <x v="4"/>
    <x v="0"/>
    <x v="0"/>
    <x v="2"/>
    <x v="3"/>
    <x v="7"/>
    <x v="1"/>
  </r>
  <r>
    <x v="1393"/>
    <x v="10"/>
    <x v="1"/>
    <n v="39.1"/>
    <n v="78.2"/>
    <x v="52"/>
    <d v="2025-02-25T00:00:00"/>
    <x v="1"/>
    <x v="0"/>
    <x v="0"/>
    <x v="0"/>
    <x v="44"/>
    <x v="2"/>
    <x v="7"/>
    <x v="1"/>
  </r>
  <r>
    <x v="1394"/>
    <x v="7"/>
    <x v="4"/>
    <n v="45.3"/>
    <n v="543.59999999999991"/>
    <x v="52"/>
    <d v="2025-02-23T00:00:00"/>
    <x v="1"/>
    <x v="2"/>
    <x v="0"/>
    <x v="0"/>
    <x v="33"/>
    <x v="3"/>
    <x v="7"/>
    <x v="1"/>
  </r>
  <r>
    <x v="1395"/>
    <x v="9"/>
    <x v="3"/>
    <n v="33.9"/>
    <n v="237.29999999999998"/>
    <x v="52"/>
    <d v="2025-02-23T00:00:00"/>
    <x v="1"/>
    <x v="4"/>
    <x v="0"/>
    <x v="0"/>
    <x v="33"/>
    <x v="3"/>
    <x v="7"/>
    <x v="1"/>
  </r>
  <r>
    <x v="1396"/>
    <x v="8"/>
    <x v="2"/>
    <n v="19"/>
    <n v="57"/>
    <x v="52"/>
    <d v="2025-02-23T00:00:00"/>
    <x v="1"/>
    <x v="0"/>
    <x v="2"/>
    <x v="0"/>
    <x v="15"/>
    <x v="3"/>
    <x v="7"/>
    <x v="1"/>
  </r>
  <r>
    <x v="1397"/>
    <x v="4"/>
    <x v="0"/>
    <n v="41.9"/>
    <n v="41.9"/>
    <x v="52"/>
    <d v="2025-02-25T00:00:00"/>
    <x v="2"/>
    <x v="2"/>
    <x v="0"/>
    <x v="0"/>
    <x v="22"/>
    <x v="2"/>
    <x v="7"/>
    <x v="2"/>
  </r>
  <r>
    <x v="1398"/>
    <x v="1"/>
    <x v="12"/>
    <n v="37.5"/>
    <n v="150"/>
    <x v="52"/>
    <d v="2025-02-22T00:00:00"/>
    <x v="2"/>
    <x v="0"/>
    <x v="0"/>
    <x v="0"/>
    <x v="3"/>
    <x v="7"/>
    <x v="7"/>
    <x v="2"/>
  </r>
  <r>
    <x v="1399"/>
    <x v="0"/>
    <x v="1"/>
    <n v="40.799999999999997"/>
    <n v="81.599999999999994"/>
    <x v="52"/>
    <d v="2025-02-25T00:00:00"/>
    <x v="1"/>
    <x v="0"/>
    <x v="0"/>
    <x v="0"/>
    <x v="3"/>
    <x v="2"/>
    <x v="7"/>
    <x v="1"/>
  </r>
  <r>
    <x v="1400"/>
    <x v="0"/>
    <x v="12"/>
    <n v="23.1"/>
    <n v="92.4"/>
    <x v="52"/>
    <d v="2025-02-23T00:00:00"/>
    <x v="2"/>
    <x v="4"/>
    <x v="0"/>
    <x v="0"/>
    <x v="3"/>
    <x v="3"/>
    <x v="7"/>
    <x v="2"/>
  </r>
  <r>
    <x v="1401"/>
    <x v="8"/>
    <x v="9"/>
    <n v="39.299999999999997"/>
    <n v="196.5"/>
    <x v="52"/>
    <d v="2025-02-23T00:00:00"/>
    <x v="2"/>
    <x v="0"/>
    <x v="0"/>
    <x v="0"/>
    <x v="3"/>
    <x v="3"/>
    <x v="7"/>
    <x v="2"/>
  </r>
  <r>
    <x v="1402"/>
    <x v="2"/>
    <x v="12"/>
    <n v="85.2"/>
    <n v="340.8"/>
    <x v="52"/>
    <d v="2025-02-27T00:00:00"/>
    <x v="1"/>
    <x v="2"/>
    <x v="0"/>
    <x v="0"/>
    <x v="3"/>
    <x v="0"/>
    <x v="7"/>
    <x v="1"/>
  </r>
  <r>
    <x v="1403"/>
    <x v="8"/>
    <x v="13"/>
    <n v="16"/>
    <n v="96"/>
    <x v="52"/>
    <d v="2025-02-25T00:00:00"/>
    <x v="1"/>
    <x v="1"/>
    <x v="0"/>
    <x v="0"/>
    <x v="3"/>
    <x v="2"/>
    <x v="7"/>
    <x v="1"/>
  </r>
  <r>
    <x v="1404"/>
    <x v="1"/>
    <x v="1"/>
    <n v="33.799999999999997"/>
    <n v="67.599999999999994"/>
    <x v="52"/>
    <d v="2025-02-26T00:00:00"/>
    <x v="2"/>
    <x v="1"/>
    <x v="0"/>
    <x v="0"/>
    <x v="3"/>
    <x v="5"/>
    <x v="7"/>
    <x v="2"/>
  </r>
  <r>
    <x v="1405"/>
    <x v="3"/>
    <x v="0"/>
    <n v="70"/>
    <n v="70"/>
    <x v="52"/>
    <d v="2025-02-23T00:00:00"/>
    <x v="2"/>
    <x v="0"/>
    <x v="0"/>
    <x v="0"/>
    <x v="3"/>
    <x v="3"/>
    <x v="7"/>
    <x v="2"/>
  </r>
  <r>
    <x v="1406"/>
    <x v="9"/>
    <x v="0"/>
    <n v="88"/>
    <n v="88"/>
    <x v="52"/>
    <d v="2025-02-27T00:00:00"/>
    <x v="2"/>
    <x v="3"/>
    <x v="0"/>
    <x v="0"/>
    <x v="3"/>
    <x v="0"/>
    <x v="7"/>
    <x v="2"/>
  </r>
  <r>
    <x v="1407"/>
    <x v="2"/>
    <x v="2"/>
    <n v="74.099999999999994"/>
    <n v="222.29999999999998"/>
    <x v="52"/>
    <d v="2025-02-22T00:00:00"/>
    <x v="1"/>
    <x v="4"/>
    <x v="1"/>
    <x v="0"/>
    <x v="3"/>
    <x v="7"/>
    <x v="7"/>
    <x v="1"/>
  </r>
  <r>
    <x v="1408"/>
    <x v="2"/>
    <x v="0"/>
    <n v="161.9"/>
    <n v="161.9"/>
    <x v="52"/>
    <d v="2025-02-24T00:00:00"/>
    <x v="1"/>
    <x v="2"/>
    <x v="0"/>
    <x v="0"/>
    <x v="3"/>
    <x v="1"/>
    <x v="7"/>
    <x v="1"/>
  </r>
  <r>
    <x v="1409"/>
    <x v="4"/>
    <x v="1"/>
    <n v="44"/>
    <n v="88"/>
    <x v="52"/>
    <d v="2025-02-23T00:00:00"/>
    <x v="3"/>
    <x v="4"/>
    <x v="1"/>
    <x v="0"/>
    <x v="3"/>
    <x v="3"/>
    <x v="7"/>
    <x v="3"/>
  </r>
  <r>
    <x v="1410"/>
    <x v="11"/>
    <x v="0"/>
    <n v="32.1"/>
    <n v="32.1"/>
    <x v="52"/>
    <d v="2025-02-22T00:00:00"/>
    <x v="2"/>
    <x v="3"/>
    <x v="3"/>
    <x v="0"/>
    <x v="3"/>
    <x v="7"/>
    <x v="7"/>
    <x v="2"/>
  </r>
  <r>
    <x v="1411"/>
    <x v="2"/>
    <x v="12"/>
    <n v="104.8"/>
    <n v="419.2"/>
    <x v="53"/>
    <d v="2025-02-25T00:00:00"/>
    <x v="3"/>
    <x v="0"/>
    <x v="0"/>
    <x v="0"/>
    <x v="3"/>
    <x v="1"/>
    <x v="8"/>
    <x v="3"/>
  </r>
  <r>
    <x v="1412"/>
    <x v="9"/>
    <x v="13"/>
    <n v="67.400000000000006"/>
    <n v="404.40000000000003"/>
    <x v="53"/>
    <d v="2025-02-24T00:00:00"/>
    <x v="2"/>
    <x v="3"/>
    <x v="0"/>
    <x v="0"/>
    <x v="3"/>
    <x v="3"/>
    <x v="8"/>
    <x v="2"/>
  </r>
  <r>
    <x v="1413"/>
    <x v="6"/>
    <x v="1"/>
    <n v="115.2"/>
    <n v="230.4"/>
    <x v="53"/>
    <d v="2025-02-24T00:00:00"/>
    <x v="2"/>
    <x v="1"/>
    <x v="0"/>
    <x v="0"/>
    <x v="4"/>
    <x v="3"/>
    <x v="8"/>
    <x v="2"/>
  </r>
  <r>
    <x v="1414"/>
    <x v="8"/>
    <x v="19"/>
    <n v="15.5"/>
    <n v="449.5"/>
    <x v="53"/>
    <d v="2025-02-25T00:00:00"/>
    <x v="2"/>
    <x v="0"/>
    <x v="1"/>
    <x v="0"/>
    <x v="23"/>
    <x v="1"/>
    <x v="8"/>
    <x v="2"/>
  </r>
  <r>
    <x v="1415"/>
    <x v="6"/>
    <x v="5"/>
    <n v="66.400000000000006"/>
    <n v="730.40000000000009"/>
    <x v="53"/>
    <d v="2025-02-25T00:00:00"/>
    <x v="2"/>
    <x v="0"/>
    <x v="0"/>
    <x v="0"/>
    <x v="6"/>
    <x v="1"/>
    <x v="8"/>
    <x v="2"/>
  </r>
  <r>
    <x v="1416"/>
    <x v="9"/>
    <x v="4"/>
    <n v="68.099999999999994"/>
    <n v="817.19999999999993"/>
    <x v="53"/>
    <d v="2025-02-24T00:00:00"/>
    <x v="2"/>
    <x v="2"/>
    <x v="0"/>
    <x v="0"/>
    <x v="8"/>
    <x v="3"/>
    <x v="8"/>
    <x v="2"/>
  </r>
  <r>
    <x v="1417"/>
    <x v="8"/>
    <x v="9"/>
    <n v="32.5"/>
    <n v="162.5"/>
    <x v="53"/>
    <d v="2025-02-27T00:00:00"/>
    <x v="1"/>
    <x v="2"/>
    <x v="1"/>
    <x v="0"/>
    <x v="8"/>
    <x v="5"/>
    <x v="8"/>
    <x v="1"/>
  </r>
  <r>
    <x v="1418"/>
    <x v="15"/>
    <x v="2"/>
    <n v="61.2"/>
    <n v="183.60000000000002"/>
    <x v="53"/>
    <d v="2025-02-25T00:00:00"/>
    <x v="2"/>
    <x v="1"/>
    <x v="1"/>
    <x v="0"/>
    <x v="8"/>
    <x v="1"/>
    <x v="8"/>
    <x v="2"/>
  </r>
  <r>
    <x v="1419"/>
    <x v="9"/>
    <x v="1"/>
    <n v="54.2"/>
    <n v="108.4"/>
    <x v="53"/>
    <d v="2025-02-24T00:00:00"/>
    <x v="2"/>
    <x v="1"/>
    <x v="0"/>
    <x v="0"/>
    <x v="8"/>
    <x v="3"/>
    <x v="8"/>
    <x v="2"/>
  </r>
  <r>
    <x v="1420"/>
    <x v="11"/>
    <x v="8"/>
    <n v="28.7"/>
    <n v="229.6"/>
    <x v="53"/>
    <d v="2025-02-25T00:00:00"/>
    <x v="1"/>
    <x v="1"/>
    <x v="0"/>
    <x v="0"/>
    <x v="9"/>
    <x v="1"/>
    <x v="8"/>
    <x v="1"/>
  </r>
  <r>
    <x v="1421"/>
    <x v="12"/>
    <x v="13"/>
    <n v="38.200000000000003"/>
    <n v="229.20000000000002"/>
    <x v="53"/>
    <d v="2025-02-27T00:00:00"/>
    <x v="2"/>
    <x v="0"/>
    <x v="1"/>
    <x v="0"/>
    <x v="9"/>
    <x v="5"/>
    <x v="8"/>
    <x v="2"/>
  </r>
  <r>
    <x v="1422"/>
    <x v="8"/>
    <x v="4"/>
    <n v="17.600000000000001"/>
    <n v="211.20000000000002"/>
    <x v="53"/>
    <d v="2025-02-24T00:00:00"/>
    <x v="2"/>
    <x v="2"/>
    <x v="1"/>
    <x v="0"/>
    <x v="9"/>
    <x v="3"/>
    <x v="8"/>
    <x v="2"/>
  </r>
  <r>
    <x v="1423"/>
    <x v="10"/>
    <x v="2"/>
    <n v="74.599999999999994"/>
    <n v="223.79999999999998"/>
    <x v="53"/>
    <d v="2025-02-23T00:00:00"/>
    <x v="2"/>
    <x v="2"/>
    <x v="0"/>
    <x v="0"/>
    <x v="11"/>
    <x v="7"/>
    <x v="8"/>
    <x v="2"/>
  </r>
  <r>
    <x v="1424"/>
    <x v="16"/>
    <x v="20"/>
    <n v="72.599999999999994"/>
    <n v="1089"/>
    <x v="53"/>
    <d v="2025-02-23T00:00:00"/>
    <x v="0"/>
    <x v="1"/>
    <x v="1"/>
    <x v="0"/>
    <x v="11"/>
    <x v="7"/>
    <x v="8"/>
    <x v="0"/>
  </r>
  <r>
    <x v="1425"/>
    <x v="7"/>
    <x v="0"/>
    <n v="62.3"/>
    <n v="62.3"/>
    <x v="53"/>
    <d v="2025-02-24T00:00:00"/>
    <x v="2"/>
    <x v="1"/>
    <x v="0"/>
    <x v="0"/>
    <x v="11"/>
    <x v="3"/>
    <x v="8"/>
    <x v="2"/>
  </r>
  <r>
    <x v="1426"/>
    <x v="3"/>
    <x v="2"/>
    <n v="33.799999999999997"/>
    <n v="101.39999999999999"/>
    <x v="53"/>
    <d v="2025-02-25T00:00:00"/>
    <x v="1"/>
    <x v="0"/>
    <x v="2"/>
    <x v="0"/>
    <x v="20"/>
    <x v="1"/>
    <x v="8"/>
    <x v="1"/>
  </r>
  <r>
    <x v="1427"/>
    <x v="9"/>
    <x v="0"/>
    <n v="85.7"/>
    <n v="85.7"/>
    <x v="53"/>
    <d v="2025-02-26T00:00:00"/>
    <x v="1"/>
    <x v="3"/>
    <x v="1"/>
    <x v="0"/>
    <x v="21"/>
    <x v="2"/>
    <x v="8"/>
    <x v="1"/>
  </r>
  <r>
    <x v="1428"/>
    <x v="6"/>
    <x v="1"/>
    <n v="92.1"/>
    <n v="184.2"/>
    <x v="53"/>
    <d v="2025-02-25T00:00:00"/>
    <x v="1"/>
    <x v="1"/>
    <x v="0"/>
    <x v="0"/>
    <x v="21"/>
    <x v="1"/>
    <x v="8"/>
    <x v="1"/>
  </r>
  <r>
    <x v="1429"/>
    <x v="16"/>
    <x v="2"/>
    <n v="65.099999999999994"/>
    <n v="195.29999999999998"/>
    <x v="53"/>
    <d v="2025-02-26T00:00:00"/>
    <x v="1"/>
    <x v="0"/>
    <x v="0"/>
    <x v="0"/>
    <x v="1"/>
    <x v="2"/>
    <x v="8"/>
    <x v="1"/>
  </r>
  <r>
    <x v="1430"/>
    <x v="9"/>
    <x v="3"/>
    <n v="20.3"/>
    <n v="142.1"/>
    <x v="53"/>
    <d v="2025-02-24T00:00:00"/>
    <x v="2"/>
    <x v="2"/>
    <x v="2"/>
    <x v="0"/>
    <x v="2"/>
    <x v="3"/>
    <x v="8"/>
    <x v="2"/>
  </r>
  <r>
    <x v="1431"/>
    <x v="19"/>
    <x v="1"/>
    <n v="29.8"/>
    <n v="59.6"/>
    <x v="53"/>
    <d v="2025-02-25T00:00:00"/>
    <x v="2"/>
    <x v="1"/>
    <x v="2"/>
    <x v="0"/>
    <x v="34"/>
    <x v="1"/>
    <x v="8"/>
    <x v="2"/>
  </r>
  <r>
    <x v="1432"/>
    <x v="0"/>
    <x v="1"/>
    <n v="24.2"/>
    <n v="48.4"/>
    <x v="53"/>
    <d v="2025-02-25T00:00:00"/>
    <x v="2"/>
    <x v="3"/>
    <x v="2"/>
    <x v="0"/>
    <x v="3"/>
    <x v="1"/>
    <x v="8"/>
    <x v="2"/>
  </r>
  <r>
    <x v="1433"/>
    <x v="3"/>
    <x v="0"/>
    <n v="57.3"/>
    <n v="57.3"/>
    <x v="53"/>
    <d v="2025-02-25T00:00:00"/>
    <x v="1"/>
    <x v="0"/>
    <x v="0"/>
    <x v="0"/>
    <x v="3"/>
    <x v="1"/>
    <x v="8"/>
    <x v="1"/>
  </r>
  <r>
    <x v="1434"/>
    <x v="2"/>
    <x v="0"/>
    <n v="108.9"/>
    <n v="108.9"/>
    <x v="53"/>
    <d v="2025-02-25T00:00:00"/>
    <x v="2"/>
    <x v="1"/>
    <x v="0"/>
    <x v="0"/>
    <x v="3"/>
    <x v="1"/>
    <x v="8"/>
    <x v="2"/>
  </r>
  <r>
    <x v="1435"/>
    <x v="7"/>
    <x v="9"/>
    <n v="50.7"/>
    <n v="253.5"/>
    <x v="53"/>
    <d v="2025-02-24T00:00:00"/>
    <x v="2"/>
    <x v="0"/>
    <x v="0"/>
    <x v="0"/>
    <x v="3"/>
    <x v="3"/>
    <x v="8"/>
    <x v="2"/>
  </r>
  <r>
    <x v="1436"/>
    <x v="7"/>
    <x v="11"/>
    <n v="66.099999999999994"/>
    <n v="594.9"/>
    <x v="53"/>
    <d v="2025-03-09T00:00:00"/>
    <x v="2"/>
    <x v="1"/>
    <x v="0"/>
    <x v="0"/>
    <x v="3"/>
    <x v="12"/>
    <x v="8"/>
    <x v="2"/>
  </r>
  <r>
    <x v="1437"/>
    <x v="12"/>
    <x v="9"/>
    <n v="36.700000000000003"/>
    <n v="183.5"/>
    <x v="53"/>
    <d v="2025-02-27T00:00:00"/>
    <x v="2"/>
    <x v="4"/>
    <x v="0"/>
    <x v="0"/>
    <x v="3"/>
    <x v="5"/>
    <x v="8"/>
    <x v="2"/>
  </r>
  <r>
    <x v="1438"/>
    <x v="8"/>
    <x v="14"/>
    <n v="19.3"/>
    <n v="328.1"/>
    <x v="53"/>
    <d v="2025-02-25T00:00:00"/>
    <x v="1"/>
    <x v="0"/>
    <x v="0"/>
    <x v="0"/>
    <x v="43"/>
    <x v="1"/>
    <x v="8"/>
    <x v="1"/>
  </r>
  <r>
    <x v="1439"/>
    <x v="8"/>
    <x v="12"/>
    <n v="20.7"/>
    <n v="82.8"/>
    <x v="53"/>
    <d v="2025-02-24T00:00:00"/>
    <x v="1"/>
    <x v="1"/>
    <x v="2"/>
    <x v="0"/>
    <x v="6"/>
    <x v="3"/>
    <x v="8"/>
    <x v="1"/>
  </r>
  <r>
    <x v="1440"/>
    <x v="5"/>
    <x v="2"/>
    <n v="54.7"/>
    <n v="164.10000000000002"/>
    <x v="53"/>
    <d v="2025-02-23T00:00:00"/>
    <x v="3"/>
    <x v="1"/>
    <x v="4"/>
    <x v="0"/>
    <x v="6"/>
    <x v="7"/>
    <x v="8"/>
    <x v="3"/>
  </r>
  <r>
    <x v="1441"/>
    <x v="4"/>
    <x v="1"/>
    <n v="19.8"/>
    <n v="39.6"/>
    <x v="53"/>
    <d v="2025-02-27T00:00:00"/>
    <x v="2"/>
    <x v="4"/>
    <x v="1"/>
    <x v="0"/>
    <x v="8"/>
    <x v="5"/>
    <x v="8"/>
    <x v="2"/>
  </r>
  <r>
    <x v="1442"/>
    <x v="7"/>
    <x v="0"/>
    <n v="41.1"/>
    <n v="41.1"/>
    <x v="53"/>
    <d v="2025-02-25T00:00:00"/>
    <x v="2"/>
    <x v="0"/>
    <x v="2"/>
    <x v="0"/>
    <x v="8"/>
    <x v="1"/>
    <x v="8"/>
    <x v="2"/>
  </r>
  <r>
    <x v="1443"/>
    <x v="11"/>
    <x v="8"/>
    <n v="43.5"/>
    <n v="348"/>
    <x v="53"/>
    <d v="2025-02-27T00:00:00"/>
    <x v="2"/>
    <x v="3"/>
    <x v="0"/>
    <x v="0"/>
    <x v="8"/>
    <x v="5"/>
    <x v="8"/>
    <x v="2"/>
  </r>
  <r>
    <x v="1444"/>
    <x v="8"/>
    <x v="21"/>
    <n v="19"/>
    <n v="266"/>
    <x v="53"/>
    <d v="2025-02-24T00:00:00"/>
    <x v="1"/>
    <x v="0"/>
    <x v="0"/>
    <x v="0"/>
    <x v="26"/>
    <x v="3"/>
    <x v="8"/>
    <x v="1"/>
  </r>
  <r>
    <x v="1445"/>
    <x v="2"/>
    <x v="12"/>
    <n v="51.4"/>
    <n v="205.6"/>
    <x v="53"/>
    <d v="2025-02-23T00:00:00"/>
    <x v="2"/>
    <x v="0"/>
    <x v="0"/>
    <x v="0"/>
    <x v="26"/>
    <x v="7"/>
    <x v="8"/>
    <x v="2"/>
  </r>
  <r>
    <x v="1446"/>
    <x v="10"/>
    <x v="1"/>
    <n v="39.799999999999997"/>
    <n v="79.599999999999994"/>
    <x v="53"/>
    <d v="2025-02-26T00:00:00"/>
    <x v="1"/>
    <x v="3"/>
    <x v="1"/>
    <x v="0"/>
    <x v="13"/>
    <x v="2"/>
    <x v="8"/>
    <x v="1"/>
  </r>
  <r>
    <x v="1447"/>
    <x v="6"/>
    <x v="9"/>
    <n v="61"/>
    <n v="305"/>
    <x v="53"/>
    <d v="2025-02-24T00:00:00"/>
    <x v="0"/>
    <x v="0"/>
    <x v="2"/>
    <x v="0"/>
    <x v="21"/>
    <x v="3"/>
    <x v="8"/>
    <x v="0"/>
  </r>
  <r>
    <x v="1448"/>
    <x v="8"/>
    <x v="5"/>
    <n v="15.1"/>
    <n v="166.1"/>
    <x v="54"/>
    <d v="2025-03-01T00:00:00"/>
    <x v="1"/>
    <x v="3"/>
    <x v="2"/>
    <x v="0"/>
    <x v="2"/>
    <x v="0"/>
    <x v="8"/>
    <x v="1"/>
  </r>
  <r>
    <x v="1449"/>
    <x v="1"/>
    <x v="3"/>
    <n v="71.3"/>
    <n v="499.09999999999997"/>
    <x v="54"/>
    <d v="2025-02-25T00:00:00"/>
    <x v="1"/>
    <x v="4"/>
    <x v="0"/>
    <x v="0"/>
    <x v="3"/>
    <x v="3"/>
    <x v="8"/>
    <x v="1"/>
  </r>
  <r>
    <x v="1450"/>
    <x v="10"/>
    <x v="0"/>
    <n v="25.8"/>
    <n v="25.8"/>
    <x v="54"/>
    <d v="2025-02-26T00:00:00"/>
    <x v="2"/>
    <x v="0"/>
    <x v="2"/>
    <x v="0"/>
    <x v="3"/>
    <x v="1"/>
    <x v="8"/>
    <x v="2"/>
  </r>
  <r>
    <x v="1451"/>
    <x v="8"/>
    <x v="9"/>
    <n v="39.6"/>
    <n v="198"/>
    <x v="54"/>
    <d v="2025-02-26T00:00:00"/>
    <x v="1"/>
    <x v="1"/>
    <x v="2"/>
    <x v="0"/>
    <x v="3"/>
    <x v="1"/>
    <x v="8"/>
    <x v="1"/>
  </r>
  <r>
    <x v="1452"/>
    <x v="5"/>
    <x v="1"/>
    <n v="64"/>
    <n v="128"/>
    <x v="54"/>
    <d v="2025-02-24T00:00:00"/>
    <x v="1"/>
    <x v="1"/>
    <x v="1"/>
    <x v="0"/>
    <x v="3"/>
    <x v="7"/>
    <x v="8"/>
    <x v="1"/>
  </r>
  <r>
    <x v="1453"/>
    <x v="8"/>
    <x v="1"/>
    <n v="30.6"/>
    <n v="61.2"/>
    <x v="54"/>
    <d v="2025-02-27T00:00:00"/>
    <x v="1"/>
    <x v="0"/>
    <x v="2"/>
    <x v="0"/>
    <x v="3"/>
    <x v="2"/>
    <x v="8"/>
    <x v="1"/>
  </r>
  <r>
    <x v="1454"/>
    <x v="8"/>
    <x v="1"/>
    <n v="21.3"/>
    <n v="42.6"/>
    <x v="54"/>
    <d v="2025-02-25T00:00:00"/>
    <x v="1"/>
    <x v="0"/>
    <x v="1"/>
    <x v="0"/>
    <x v="3"/>
    <x v="3"/>
    <x v="8"/>
    <x v="1"/>
  </r>
  <r>
    <x v="1455"/>
    <x v="7"/>
    <x v="0"/>
    <n v="40.799999999999997"/>
    <n v="40.799999999999997"/>
    <x v="54"/>
    <d v="2025-02-26T00:00:00"/>
    <x v="2"/>
    <x v="4"/>
    <x v="0"/>
    <x v="0"/>
    <x v="3"/>
    <x v="1"/>
    <x v="8"/>
    <x v="2"/>
  </r>
  <r>
    <x v="1456"/>
    <x v="9"/>
    <x v="12"/>
    <n v="27.7"/>
    <n v="110.8"/>
    <x v="54"/>
    <d v="2025-02-25T00:00:00"/>
    <x v="2"/>
    <x v="0"/>
    <x v="1"/>
    <x v="0"/>
    <x v="3"/>
    <x v="3"/>
    <x v="8"/>
    <x v="2"/>
  </r>
  <r>
    <x v="1457"/>
    <x v="6"/>
    <x v="1"/>
    <n v="64.599999999999994"/>
    <n v="129.19999999999999"/>
    <x v="54"/>
    <d v="2025-02-25T00:00:00"/>
    <x v="1"/>
    <x v="0"/>
    <x v="1"/>
    <x v="0"/>
    <x v="3"/>
    <x v="3"/>
    <x v="8"/>
    <x v="1"/>
  </r>
  <r>
    <x v="1458"/>
    <x v="6"/>
    <x v="27"/>
    <n v="91.1"/>
    <n v="1457.6"/>
    <x v="54"/>
    <d v="2025-02-25T00:00:00"/>
    <x v="2"/>
    <x v="1"/>
    <x v="2"/>
    <x v="0"/>
    <x v="3"/>
    <x v="3"/>
    <x v="8"/>
    <x v="2"/>
  </r>
  <r>
    <x v="1459"/>
    <x v="1"/>
    <x v="0"/>
    <n v="39.5"/>
    <n v="39.5"/>
    <x v="54"/>
    <d v="2025-03-04T00:00:00"/>
    <x v="2"/>
    <x v="0"/>
    <x v="0"/>
    <x v="0"/>
    <x v="3"/>
    <x v="9"/>
    <x v="8"/>
    <x v="2"/>
  </r>
  <r>
    <x v="1460"/>
    <x v="9"/>
    <x v="1"/>
    <n v="21.8"/>
    <n v="43.6"/>
    <x v="54"/>
    <d v="2025-02-28T00:00:00"/>
    <x v="1"/>
    <x v="4"/>
    <x v="2"/>
    <x v="0"/>
    <x v="3"/>
    <x v="5"/>
    <x v="8"/>
    <x v="1"/>
  </r>
  <r>
    <x v="1461"/>
    <x v="8"/>
    <x v="1"/>
    <n v="51"/>
    <n v="102"/>
    <x v="54"/>
    <d v="2025-02-27T00:00:00"/>
    <x v="1"/>
    <x v="3"/>
    <x v="2"/>
    <x v="0"/>
    <x v="3"/>
    <x v="2"/>
    <x v="8"/>
    <x v="1"/>
  </r>
  <r>
    <x v="1462"/>
    <x v="2"/>
    <x v="0"/>
    <n v="92.6"/>
    <n v="92.6"/>
    <x v="54"/>
    <d v="2025-02-27T00:00:00"/>
    <x v="2"/>
    <x v="0"/>
    <x v="2"/>
    <x v="0"/>
    <x v="35"/>
    <x v="2"/>
    <x v="8"/>
    <x v="2"/>
  </r>
  <r>
    <x v="1463"/>
    <x v="9"/>
    <x v="1"/>
    <n v="31.1"/>
    <n v="62.2"/>
    <x v="54"/>
    <d v="2025-03-01T00:00:00"/>
    <x v="0"/>
    <x v="1"/>
    <x v="3"/>
    <x v="0"/>
    <x v="23"/>
    <x v="0"/>
    <x v="8"/>
    <x v="0"/>
  </r>
  <r>
    <x v="1464"/>
    <x v="5"/>
    <x v="2"/>
    <n v="56.4"/>
    <n v="169.2"/>
    <x v="54"/>
    <d v="2025-02-25T00:00:00"/>
    <x v="0"/>
    <x v="1"/>
    <x v="0"/>
    <x v="0"/>
    <x v="6"/>
    <x v="3"/>
    <x v="8"/>
    <x v="0"/>
  </r>
  <r>
    <x v="1465"/>
    <x v="9"/>
    <x v="0"/>
    <n v="41.9"/>
    <n v="41.9"/>
    <x v="54"/>
    <d v="2025-02-24T00:00:00"/>
    <x v="1"/>
    <x v="1"/>
    <x v="0"/>
    <x v="0"/>
    <x v="6"/>
    <x v="7"/>
    <x v="8"/>
    <x v="1"/>
  </r>
  <r>
    <x v="1466"/>
    <x v="10"/>
    <x v="3"/>
    <n v="45.9"/>
    <n v="321.3"/>
    <x v="54"/>
    <d v="2025-02-25T00:00:00"/>
    <x v="1"/>
    <x v="3"/>
    <x v="2"/>
    <x v="0"/>
    <x v="8"/>
    <x v="3"/>
    <x v="8"/>
    <x v="1"/>
  </r>
  <r>
    <x v="1467"/>
    <x v="14"/>
    <x v="11"/>
    <n v="24.4"/>
    <n v="219.6"/>
    <x v="54"/>
    <d v="2025-02-28T00:00:00"/>
    <x v="1"/>
    <x v="3"/>
    <x v="2"/>
    <x v="0"/>
    <x v="8"/>
    <x v="5"/>
    <x v="8"/>
    <x v="1"/>
  </r>
  <r>
    <x v="1468"/>
    <x v="8"/>
    <x v="0"/>
    <n v="18.2"/>
    <n v="18.2"/>
    <x v="54"/>
    <d v="2025-02-25T00:00:00"/>
    <x v="2"/>
    <x v="2"/>
    <x v="2"/>
    <x v="0"/>
    <x v="8"/>
    <x v="3"/>
    <x v="8"/>
    <x v="2"/>
  </r>
  <r>
    <x v="1469"/>
    <x v="8"/>
    <x v="12"/>
    <n v="51.2"/>
    <n v="204.8"/>
    <x v="54"/>
    <d v="2025-02-25T00:00:00"/>
    <x v="2"/>
    <x v="0"/>
    <x v="0"/>
    <x v="0"/>
    <x v="8"/>
    <x v="3"/>
    <x v="8"/>
    <x v="2"/>
  </r>
  <r>
    <x v="1470"/>
    <x v="6"/>
    <x v="0"/>
    <n v="59.7"/>
    <n v="59.7"/>
    <x v="54"/>
    <d v="2025-02-27T00:00:00"/>
    <x v="1"/>
    <x v="0"/>
    <x v="2"/>
    <x v="0"/>
    <x v="8"/>
    <x v="2"/>
    <x v="8"/>
    <x v="1"/>
  </r>
  <r>
    <x v="1471"/>
    <x v="4"/>
    <x v="1"/>
    <n v="33.6"/>
    <n v="67.2"/>
    <x v="54"/>
    <d v="2025-02-26T00:00:00"/>
    <x v="2"/>
    <x v="0"/>
    <x v="0"/>
    <x v="0"/>
    <x v="17"/>
    <x v="1"/>
    <x v="8"/>
    <x v="2"/>
  </r>
  <r>
    <x v="1472"/>
    <x v="12"/>
    <x v="0"/>
    <n v="90.4"/>
    <n v="90.4"/>
    <x v="54"/>
    <d v="2025-02-28T00:00:00"/>
    <x v="1"/>
    <x v="1"/>
    <x v="2"/>
    <x v="0"/>
    <x v="10"/>
    <x v="5"/>
    <x v="8"/>
    <x v="1"/>
  </r>
  <r>
    <x v="1473"/>
    <x v="11"/>
    <x v="2"/>
    <n v="70.3"/>
    <n v="210.89999999999998"/>
    <x v="54"/>
    <d v="2025-02-24T00:00:00"/>
    <x v="1"/>
    <x v="1"/>
    <x v="2"/>
    <x v="0"/>
    <x v="11"/>
    <x v="7"/>
    <x v="8"/>
    <x v="1"/>
  </r>
  <r>
    <x v="1474"/>
    <x v="4"/>
    <x v="1"/>
    <n v="20.5"/>
    <n v="41"/>
    <x v="54"/>
    <d v="2025-02-27T00:00:00"/>
    <x v="2"/>
    <x v="0"/>
    <x v="1"/>
    <x v="0"/>
    <x v="11"/>
    <x v="2"/>
    <x v="8"/>
    <x v="2"/>
  </r>
  <r>
    <x v="1475"/>
    <x v="5"/>
    <x v="5"/>
    <n v="37.6"/>
    <n v="413.6"/>
    <x v="54"/>
    <d v="2025-02-25T00:00:00"/>
    <x v="1"/>
    <x v="0"/>
    <x v="0"/>
    <x v="0"/>
    <x v="38"/>
    <x v="3"/>
    <x v="8"/>
    <x v="1"/>
  </r>
  <r>
    <x v="1476"/>
    <x v="5"/>
    <x v="12"/>
    <n v="61.5"/>
    <n v="246"/>
    <x v="54"/>
    <d v="2025-03-03T00:00:00"/>
    <x v="2"/>
    <x v="1"/>
    <x v="4"/>
    <x v="0"/>
    <x v="13"/>
    <x v="6"/>
    <x v="8"/>
    <x v="2"/>
  </r>
  <r>
    <x v="1477"/>
    <x v="9"/>
    <x v="0"/>
    <n v="33.5"/>
    <n v="33.5"/>
    <x v="55"/>
    <d v="2025-03-01T00:00:00"/>
    <x v="1"/>
    <x v="4"/>
    <x v="1"/>
    <x v="0"/>
    <x v="21"/>
    <x v="5"/>
    <x v="8"/>
    <x v="1"/>
  </r>
  <r>
    <x v="1478"/>
    <x v="4"/>
    <x v="2"/>
    <n v="29.3"/>
    <n v="87.9"/>
    <x v="55"/>
    <d v="2025-02-27T00:00:00"/>
    <x v="2"/>
    <x v="1"/>
    <x v="2"/>
    <x v="0"/>
    <x v="1"/>
    <x v="1"/>
    <x v="8"/>
    <x v="2"/>
  </r>
  <r>
    <x v="1479"/>
    <x v="2"/>
    <x v="1"/>
    <n v="125.9"/>
    <n v="251.8"/>
    <x v="55"/>
    <d v="2025-03-02T00:00:00"/>
    <x v="2"/>
    <x v="4"/>
    <x v="1"/>
    <x v="0"/>
    <x v="1"/>
    <x v="0"/>
    <x v="8"/>
    <x v="2"/>
  </r>
  <r>
    <x v="1480"/>
    <x v="5"/>
    <x v="9"/>
    <n v="29.3"/>
    <n v="146.5"/>
    <x v="55"/>
    <d v="2025-02-25T00:00:00"/>
    <x v="1"/>
    <x v="2"/>
    <x v="0"/>
    <x v="0"/>
    <x v="44"/>
    <x v="7"/>
    <x v="8"/>
    <x v="1"/>
  </r>
  <r>
    <x v="1481"/>
    <x v="9"/>
    <x v="0"/>
    <n v="37.799999999999997"/>
    <n v="37.799999999999997"/>
    <x v="55"/>
    <d v="2025-02-28T00:00:00"/>
    <x v="2"/>
    <x v="0"/>
    <x v="2"/>
    <x v="0"/>
    <x v="3"/>
    <x v="2"/>
    <x v="8"/>
    <x v="2"/>
  </r>
  <r>
    <x v="1482"/>
    <x v="0"/>
    <x v="12"/>
    <n v="31.7"/>
    <n v="126.8"/>
    <x v="55"/>
    <d v="2025-02-26T00:00:00"/>
    <x v="1"/>
    <x v="2"/>
    <x v="2"/>
    <x v="0"/>
    <x v="3"/>
    <x v="3"/>
    <x v="8"/>
    <x v="1"/>
  </r>
  <r>
    <x v="1483"/>
    <x v="8"/>
    <x v="9"/>
    <n v="26.3"/>
    <n v="131.5"/>
    <x v="55"/>
    <d v="2025-02-26T00:00:00"/>
    <x v="2"/>
    <x v="3"/>
    <x v="2"/>
    <x v="0"/>
    <x v="3"/>
    <x v="3"/>
    <x v="8"/>
    <x v="2"/>
  </r>
  <r>
    <x v="1484"/>
    <x v="8"/>
    <x v="2"/>
    <n v="23.1"/>
    <n v="69.300000000000011"/>
    <x v="55"/>
    <d v="2025-02-26T00:00:00"/>
    <x v="3"/>
    <x v="2"/>
    <x v="1"/>
    <x v="0"/>
    <x v="3"/>
    <x v="3"/>
    <x v="8"/>
    <x v="3"/>
  </r>
  <r>
    <x v="1485"/>
    <x v="4"/>
    <x v="0"/>
    <n v="22.3"/>
    <n v="22.3"/>
    <x v="55"/>
    <d v="2025-02-27T00:00:00"/>
    <x v="2"/>
    <x v="2"/>
    <x v="0"/>
    <x v="0"/>
    <x v="3"/>
    <x v="1"/>
    <x v="8"/>
    <x v="2"/>
  </r>
  <r>
    <x v="1486"/>
    <x v="12"/>
    <x v="1"/>
    <n v="99.5"/>
    <n v="199"/>
    <x v="55"/>
    <d v="2025-02-27T00:00:00"/>
    <x v="2"/>
    <x v="2"/>
    <x v="0"/>
    <x v="0"/>
    <x v="3"/>
    <x v="1"/>
    <x v="8"/>
    <x v="2"/>
  </r>
  <r>
    <x v="1487"/>
    <x v="12"/>
    <x v="12"/>
    <n v="47.4"/>
    <n v="189.6"/>
    <x v="55"/>
    <d v="2025-02-28T00:00:00"/>
    <x v="2"/>
    <x v="1"/>
    <x v="0"/>
    <x v="0"/>
    <x v="3"/>
    <x v="2"/>
    <x v="8"/>
    <x v="2"/>
  </r>
  <r>
    <x v="1488"/>
    <x v="0"/>
    <x v="5"/>
    <n v="37.5"/>
    <n v="412.5"/>
    <x v="55"/>
    <d v="2025-02-27T00:00:00"/>
    <x v="2"/>
    <x v="0"/>
    <x v="3"/>
    <x v="0"/>
    <x v="3"/>
    <x v="1"/>
    <x v="8"/>
    <x v="2"/>
  </r>
  <r>
    <x v="1489"/>
    <x v="10"/>
    <x v="0"/>
    <n v="45.1"/>
    <n v="45.1"/>
    <x v="55"/>
    <d v="2025-03-02T00:00:00"/>
    <x v="1"/>
    <x v="3"/>
    <x v="2"/>
    <x v="0"/>
    <x v="24"/>
    <x v="0"/>
    <x v="8"/>
    <x v="1"/>
  </r>
  <r>
    <x v="1490"/>
    <x v="5"/>
    <x v="7"/>
    <n v="34.4"/>
    <n v="344"/>
    <x v="55"/>
    <d v="2025-02-28T00:00:00"/>
    <x v="1"/>
    <x v="2"/>
    <x v="0"/>
    <x v="0"/>
    <x v="16"/>
    <x v="2"/>
    <x v="8"/>
    <x v="1"/>
  </r>
  <r>
    <x v="1491"/>
    <x v="4"/>
    <x v="1"/>
    <n v="38"/>
    <n v="76"/>
    <x v="55"/>
    <d v="2025-02-27T00:00:00"/>
    <x v="2"/>
    <x v="1"/>
    <x v="0"/>
    <x v="0"/>
    <x v="5"/>
    <x v="1"/>
    <x v="8"/>
    <x v="2"/>
  </r>
  <r>
    <x v="1492"/>
    <x v="3"/>
    <x v="21"/>
    <n v="32.4"/>
    <n v="453.59999999999997"/>
    <x v="55"/>
    <d v="2025-02-28T00:00:00"/>
    <x v="1"/>
    <x v="4"/>
    <x v="0"/>
    <x v="0"/>
    <x v="6"/>
    <x v="2"/>
    <x v="8"/>
    <x v="1"/>
  </r>
  <r>
    <x v="1493"/>
    <x v="6"/>
    <x v="2"/>
    <n v="40.9"/>
    <n v="122.69999999999999"/>
    <x v="55"/>
    <d v="2025-02-25T00:00:00"/>
    <x v="0"/>
    <x v="1"/>
    <x v="0"/>
    <x v="0"/>
    <x v="8"/>
    <x v="7"/>
    <x v="8"/>
    <x v="0"/>
  </r>
  <r>
    <x v="1494"/>
    <x v="7"/>
    <x v="3"/>
    <n v="76.2"/>
    <n v="533.4"/>
    <x v="55"/>
    <d v="2025-02-27T00:00:00"/>
    <x v="2"/>
    <x v="2"/>
    <x v="1"/>
    <x v="0"/>
    <x v="8"/>
    <x v="1"/>
    <x v="8"/>
    <x v="2"/>
  </r>
  <r>
    <x v="1495"/>
    <x v="2"/>
    <x v="0"/>
    <n v="85.6"/>
    <n v="85.6"/>
    <x v="55"/>
    <d v="2025-02-27T00:00:00"/>
    <x v="1"/>
    <x v="2"/>
    <x v="0"/>
    <x v="0"/>
    <x v="8"/>
    <x v="1"/>
    <x v="8"/>
    <x v="1"/>
  </r>
  <r>
    <x v="1496"/>
    <x v="4"/>
    <x v="12"/>
    <n v="25"/>
    <n v="100"/>
    <x v="55"/>
    <d v="2025-02-27T00:00:00"/>
    <x v="2"/>
    <x v="2"/>
    <x v="2"/>
    <x v="0"/>
    <x v="8"/>
    <x v="1"/>
    <x v="8"/>
    <x v="2"/>
  </r>
  <r>
    <x v="1497"/>
    <x v="2"/>
    <x v="9"/>
    <n v="150.69999999999999"/>
    <n v="753.5"/>
    <x v="55"/>
    <d v="2025-02-26T00:00:00"/>
    <x v="0"/>
    <x v="0"/>
    <x v="2"/>
    <x v="0"/>
    <x v="8"/>
    <x v="3"/>
    <x v="8"/>
    <x v="0"/>
  </r>
  <r>
    <x v="1498"/>
    <x v="8"/>
    <x v="0"/>
    <n v="19.600000000000001"/>
    <n v="19.600000000000001"/>
    <x v="55"/>
    <d v="2025-02-26T00:00:00"/>
    <x v="1"/>
    <x v="1"/>
    <x v="4"/>
    <x v="0"/>
    <x v="8"/>
    <x v="3"/>
    <x v="8"/>
    <x v="1"/>
  </r>
  <r>
    <x v="1499"/>
    <x v="13"/>
    <x v="1"/>
    <n v="37.5"/>
    <n v="75"/>
    <x v="55"/>
    <d v="2025-02-28T00:00:00"/>
    <x v="2"/>
    <x v="1"/>
    <x v="2"/>
    <x v="0"/>
    <x v="17"/>
    <x v="2"/>
    <x v="8"/>
    <x v="2"/>
  </r>
  <r>
    <x v="1500"/>
    <x v="9"/>
    <x v="2"/>
    <n v="51.9"/>
    <n v="155.69999999999999"/>
    <x v="55"/>
    <d v="2025-03-03T00:00:00"/>
    <x v="2"/>
    <x v="0"/>
    <x v="4"/>
    <x v="0"/>
    <x v="11"/>
    <x v="4"/>
    <x v="8"/>
    <x v="2"/>
  </r>
  <r>
    <x v="1501"/>
    <x v="1"/>
    <x v="1"/>
    <n v="30.9"/>
    <n v="61.8"/>
    <x v="55"/>
    <d v="2025-02-27T00:00:00"/>
    <x v="2"/>
    <x v="1"/>
    <x v="0"/>
    <x v="0"/>
    <x v="18"/>
    <x v="1"/>
    <x v="8"/>
    <x v="2"/>
  </r>
  <r>
    <x v="1502"/>
    <x v="4"/>
    <x v="2"/>
    <n v="21.2"/>
    <n v="63.599999999999994"/>
    <x v="55"/>
    <d v="2025-02-28T00:00:00"/>
    <x v="2"/>
    <x v="1"/>
    <x v="0"/>
    <x v="0"/>
    <x v="19"/>
    <x v="2"/>
    <x v="8"/>
    <x v="2"/>
  </r>
  <r>
    <x v="1503"/>
    <x v="13"/>
    <x v="14"/>
    <n v="17.5"/>
    <n v="297.5"/>
    <x v="55"/>
    <d v="2025-02-26T00:00:00"/>
    <x v="1"/>
    <x v="1"/>
    <x v="1"/>
    <x v="0"/>
    <x v="13"/>
    <x v="3"/>
    <x v="8"/>
    <x v="1"/>
  </r>
  <r>
    <x v="1504"/>
    <x v="12"/>
    <x v="1"/>
    <n v="53.8"/>
    <n v="107.6"/>
    <x v="55"/>
    <d v="2025-03-02T00:00:00"/>
    <x v="2"/>
    <x v="0"/>
    <x v="2"/>
    <x v="0"/>
    <x v="21"/>
    <x v="0"/>
    <x v="8"/>
    <x v="2"/>
  </r>
  <r>
    <x v="1505"/>
    <x v="19"/>
    <x v="1"/>
    <n v="17"/>
    <n v="34"/>
    <x v="55"/>
    <d v="2025-02-26T00:00:00"/>
    <x v="1"/>
    <x v="3"/>
    <x v="0"/>
    <x v="0"/>
    <x v="21"/>
    <x v="3"/>
    <x v="8"/>
    <x v="1"/>
  </r>
  <r>
    <x v="1506"/>
    <x v="6"/>
    <x v="0"/>
    <n v="103.2"/>
    <n v="103.2"/>
    <x v="55"/>
    <d v="2025-03-05T00:00:00"/>
    <x v="1"/>
    <x v="2"/>
    <x v="1"/>
    <x v="0"/>
    <x v="1"/>
    <x v="9"/>
    <x v="8"/>
    <x v="1"/>
  </r>
  <r>
    <x v="1507"/>
    <x v="6"/>
    <x v="12"/>
    <n v="70.3"/>
    <n v="281.2"/>
    <x v="55"/>
    <d v="2025-02-26T00:00:00"/>
    <x v="1"/>
    <x v="0"/>
    <x v="0"/>
    <x v="0"/>
    <x v="3"/>
    <x v="3"/>
    <x v="8"/>
    <x v="1"/>
  </r>
  <r>
    <x v="1508"/>
    <x v="2"/>
    <x v="1"/>
    <n v="73.8"/>
    <n v="147.6"/>
    <x v="55"/>
    <d v="2025-02-25T00:00:00"/>
    <x v="1"/>
    <x v="3"/>
    <x v="2"/>
    <x v="0"/>
    <x v="3"/>
    <x v="7"/>
    <x v="8"/>
    <x v="1"/>
  </r>
  <r>
    <x v="1509"/>
    <x v="1"/>
    <x v="4"/>
    <n v="67.7"/>
    <n v="812.40000000000009"/>
    <x v="55"/>
    <d v="2025-03-01T00:00:00"/>
    <x v="1"/>
    <x v="1"/>
    <x v="1"/>
    <x v="0"/>
    <x v="3"/>
    <x v="5"/>
    <x v="8"/>
    <x v="1"/>
  </r>
  <r>
    <x v="1510"/>
    <x v="13"/>
    <x v="3"/>
    <n v="43.8"/>
    <n v="306.59999999999997"/>
    <x v="55"/>
    <d v="2025-02-27T00:00:00"/>
    <x v="1"/>
    <x v="1"/>
    <x v="0"/>
    <x v="0"/>
    <x v="3"/>
    <x v="1"/>
    <x v="8"/>
    <x v="1"/>
  </r>
  <r>
    <x v="1511"/>
    <x v="17"/>
    <x v="13"/>
    <n v="71.900000000000006"/>
    <n v="431.40000000000003"/>
    <x v="55"/>
    <d v="2025-02-26T00:00:00"/>
    <x v="2"/>
    <x v="2"/>
    <x v="0"/>
    <x v="0"/>
    <x v="3"/>
    <x v="3"/>
    <x v="8"/>
    <x v="2"/>
  </r>
  <r>
    <x v="1512"/>
    <x v="8"/>
    <x v="1"/>
    <n v="26.3"/>
    <n v="52.6"/>
    <x v="56"/>
    <d v="2025-02-28T00:00:00"/>
    <x v="2"/>
    <x v="0"/>
    <x v="1"/>
    <x v="0"/>
    <x v="3"/>
    <x v="1"/>
    <x v="8"/>
    <x v="2"/>
  </r>
  <r>
    <x v="1513"/>
    <x v="6"/>
    <x v="12"/>
    <n v="52.6"/>
    <n v="210.4"/>
    <x v="56"/>
    <d v="2025-02-28T00:00:00"/>
    <x v="2"/>
    <x v="2"/>
    <x v="1"/>
    <x v="0"/>
    <x v="3"/>
    <x v="1"/>
    <x v="8"/>
    <x v="2"/>
  </r>
  <r>
    <x v="1514"/>
    <x v="10"/>
    <x v="0"/>
    <n v="32.700000000000003"/>
    <n v="32.700000000000003"/>
    <x v="56"/>
    <d v="2025-03-05T00:00:00"/>
    <x v="2"/>
    <x v="0"/>
    <x v="2"/>
    <x v="0"/>
    <x v="3"/>
    <x v="6"/>
    <x v="8"/>
    <x v="2"/>
  </r>
  <r>
    <x v="1515"/>
    <x v="5"/>
    <x v="12"/>
    <n v="38.9"/>
    <n v="155.6"/>
    <x v="56"/>
    <d v="2025-02-27T00:00:00"/>
    <x v="2"/>
    <x v="0"/>
    <x v="0"/>
    <x v="0"/>
    <x v="3"/>
    <x v="3"/>
    <x v="8"/>
    <x v="2"/>
  </r>
  <r>
    <x v="1516"/>
    <x v="9"/>
    <x v="9"/>
    <n v="35"/>
    <n v="175"/>
    <x v="56"/>
    <d v="2025-02-28T00:00:00"/>
    <x v="1"/>
    <x v="0"/>
    <x v="0"/>
    <x v="0"/>
    <x v="3"/>
    <x v="1"/>
    <x v="8"/>
    <x v="1"/>
  </r>
  <r>
    <x v="1517"/>
    <x v="2"/>
    <x v="1"/>
    <n v="121"/>
    <n v="242"/>
    <x v="56"/>
    <d v="2025-02-27T00:00:00"/>
    <x v="2"/>
    <x v="1"/>
    <x v="1"/>
    <x v="0"/>
    <x v="3"/>
    <x v="3"/>
    <x v="8"/>
    <x v="2"/>
  </r>
  <r>
    <x v="1518"/>
    <x v="6"/>
    <x v="2"/>
    <n v="65.099999999999994"/>
    <n v="195.29999999999998"/>
    <x v="56"/>
    <d v="2025-03-02T00:00:00"/>
    <x v="1"/>
    <x v="2"/>
    <x v="0"/>
    <x v="0"/>
    <x v="36"/>
    <x v="5"/>
    <x v="8"/>
    <x v="1"/>
  </r>
  <r>
    <x v="1519"/>
    <x v="1"/>
    <x v="38"/>
    <n v="63.8"/>
    <n v="1339.8"/>
    <x v="56"/>
    <d v="2025-02-28T00:00:00"/>
    <x v="2"/>
    <x v="0"/>
    <x v="0"/>
    <x v="0"/>
    <x v="8"/>
    <x v="1"/>
    <x v="8"/>
    <x v="2"/>
  </r>
  <r>
    <x v="1520"/>
    <x v="7"/>
    <x v="0"/>
    <n v="77.7"/>
    <n v="77.7"/>
    <x v="56"/>
    <d v="2025-02-28T00:00:00"/>
    <x v="1"/>
    <x v="0"/>
    <x v="0"/>
    <x v="0"/>
    <x v="8"/>
    <x v="1"/>
    <x v="8"/>
    <x v="1"/>
  </r>
  <r>
    <x v="1521"/>
    <x v="5"/>
    <x v="12"/>
    <n v="60.3"/>
    <n v="241.2"/>
    <x v="56"/>
    <d v="2025-02-26T00:00:00"/>
    <x v="1"/>
    <x v="0"/>
    <x v="2"/>
    <x v="0"/>
    <x v="8"/>
    <x v="7"/>
    <x v="8"/>
    <x v="1"/>
  </r>
  <r>
    <x v="1522"/>
    <x v="5"/>
    <x v="1"/>
    <n v="124.1"/>
    <n v="248.2"/>
    <x v="56"/>
    <d v="2025-03-01T00:00:00"/>
    <x v="2"/>
    <x v="0"/>
    <x v="2"/>
    <x v="0"/>
    <x v="8"/>
    <x v="2"/>
    <x v="8"/>
    <x v="2"/>
  </r>
  <r>
    <x v="1523"/>
    <x v="16"/>
    <x v="3"/>
    <n v="66"/>
    <n v="462"/>
    <x v="56"/>
    <d v="2025-02-26T00:00:00"/>
    <x v="0"/>
    <x v="3"/>
    <x v="0"/>
    <x v="0"/>
    <x v="17"/>
    <x v="7"/>
    <x v="8"/>
    <x v="0"/>
  </r>
  <r>
    <x v="1524"/>
    <x v="2"/>
    <x v="42"/>
    <n v="118.2"/>
    <n v="7446.6"/>
    <x v="56"/>
    <d v="2025-03-03T00:00:00"/>
    <x v="0"/>
    <x v="0"/>
    <x v="0"/>
    <x v="0"/>
    <x v="17"/>
    <x v="0"/>
    <x v="8"/>
    <x v="0"/>
  </r>
  <r>
    <x v="1525"/>
    <x v="5"/>
    <x v="9"/>
    <n v="64.3"/>
    <n v="321.5"/>
    <x v="56"/>
    <d v="2025-02-27T00:00:00"/>
    <x v="1"/>
    <x v="4"/>
    <x v="4"/>
    <x v="0"/>
    <x v="26"/>
    <x v="3"/>
    <x v="8"/>
    <x v="1"/>
  </r>
  <r>
    <x v="1526"/>
    <x v="1"/>
    <x v="1"/>
    <n v="54.8"/>
    <n v="109.6"/>
    <x v="56"/>
    <d v="2025-02-26T00:00:00"/>
    <x v="1"/>
    <x v="0"/>
    <x v="1"/>
    <x v="0"/>
    <x v="26"/>
    <x v="7"/>
    <x v="8"/>
    <x v="1"/>
  </r>
  <r>
    <x v="1527"/>
    <x v="7"/>
    <x v="1"/>
    <n v="78.599999999999994"/>
    <n v="157.19999999999999"/>
    <x v="56"/>
    <d v="2025-02-27T00:00:00"/>
    <x v="1"/>
    <x v="0"/>
    <x v="2"/>
    <x v="0"/>
    <x v="9"/>
    <x v="3"/>
    <x v="8"/>
    <x v="1"/>
  </r>
  <r>
    <x v="1528"/>
    <x v="2"/>
    <x v="9"/>
    <n v="158.5"/>
    <n v="792.5"/>
    <x v="56"/>
    <d v="2025-02-28T00:00:00"/>
    <x v="0"/>
    <x v="2"/>
    <x v="2"/>
    <x v="0"/>
    <x v="9"/>
    <x v="1"/>
    <x v="8"/>
    <x v="0"/>
  </r>
  <r>
    <x v="1529"/>
    <x v="4"/>
    <x v="7"/>
    <n v="23.5"/>
    <n v="235"/>
    <x v="56"/>
    <d v="2025-03-01T00:00:00"/>
    <x v="1"/>
    <x v="0"/>
    <x v="4"/>
    <x v="0"/>
    <x v="10"/>
    <x v="2"/>
    <x v="8"/>
    <x v="1"/>
  </r>
  <r>
    <x v="1530"/>
    <x v="5"/>
    <x v="1"/>
    <n v="32.1"/>
    <n v="64.2"/>
    <x v="56"/>
    <d v="2025-02-28T00:00:00"/>
    <x v="0"/>
    <x v="3"/>
    <x v="0"/>
    <x v="0"/>
    <x v="10"/>
    <x v="1"/>
    <x v="8"/>
    <x v="0"/>
  </r>
  <r>
    <x v="1531"/>
    <x v="17"/>
    <x v="12"/>
    <n v="71.900000000000006"/>
    <n v="287.60000000000002"/>
    <x v="56"/>
    <d v="2025-02-26T00:00:00"/>
    <x v="1"/>
    <x v="2"/>
    <x v="0"/>
    <x v="0"/>
    <x v="19"/>
    <x v="7"/>
    <x v="8"/>
    <x v="1"/>
  </r>
  <r>
    <x v="1532"/>
    <x v="4"/>
    <x v="13"/>
    <n v="22.3"/>
    <n v="133.80000000000001"/>
    <x v="56"/>
    <d v="2025-02-27T00:00:00"/>
    <x v="0"/>
    <x v="3"/>
    <x v="2"/>
    <x v="0"/>
    <x v="13"/>
    <x v="3"/>
    <x v="8"/>
    <x v="0"/>
  </r>
  <r>
    <x v="1533"/>
    <x v="11"/>
    <x v="1"/>
    <n v="29.5"/>
    <n v="59"/>
    <x v="56"/>
    <d v="2025-02-27T00:00:00"/>
    <x v="2"/>
    <x v="0"/>
    <x v="2"/>
    <x v="0"/>
    <x v="13"/>
    <x v="3"/>
    <x v="8"/>
    <x v="2"/>
  </r>
  <r>
    <x v="1534"/>
    <x v="6"/>
    <x v="12"/>
    <n v="41.9"/>
    <n v="167.6"/>
    <x v="56"/>
    <d v="2025-03-02T00:00:00"/>
    <x v="2"/>
    <x v="0"/>
    <x v="1"/>
    <x v="0"/>
    <x v="21"/>
    <x v="5"/>
    <x v="8"/>
    <x v="2"/>
  </r>
  <r>
    <x v="1535"/>
    <x v="6"/>
    <x v="2"/>
    <n v="107.8"/>
    <n v="323.39999999999998"/>
    <x v="56"/>
    <d v="2025-02-27T00:00:00"/>
    <x v="1"/>
    <x v="1"/>
    <x v="2"/>
    <x v="0"/>
    <x v="46"/>
    <x v="3"/>
    <x v="8"/>
    <x v="1"/>
  </r>
  <r>
    <x v="1536"/>
    <x v="4"/>
    <x v="9"/>
    <n v="18.100000000000001"/>
    <n v="90.5"/>
    <x v="56"/>
    <d v="2025-03-01T00:00:00"/>
    <x v="1"/>
    <x v="0"/>
    <x v="2"/>
    <x v="0"/>
    <x v="2"/>
    <x v="2"/>
    <x v="8"/>
    <x v="1"/>
  </r>
  <r>
    <x v="1537"/>
    <x v="12"/>
    <x v="11"/>
    <n v="79.8"/>
    <n v="718.19999999999993"/>
    <x v="56"/>
    <d v="2025-02-27T00:00:00"/>
    <x v="2"/>
    <x v="1"/>
    <x v="1"/>
    <x v="0"/>
    <x v="22"/>
    <x v="3"/>
    <x v="8"/>
    <x v="2"/>
  </r>
  <r>
    <x v="1538"/>
    <x v="0"/>
    <x v="2"/>
    <n v="22.3"/>
    <n v="66.900000000000006"/>
    <x v="56"/>
    <d v="2025-03-01T00:00:00"/>
    <x v="2"/>
    <x v="0"/>
    <x v="2"/>
    <x v="0"/>
    <x v="22"/>
    <x v="2"/>
    <x v="8"/>
    <x v="2"/>
  </r>
  <r>
    <x v="1539"/>
    <x v="8"/>
    <x v="0"/>
    <n v="22.9"/>
    <n v="22.9"/>
    <x v="56"/>
    <d v="2025-02-26T00:00:00"/>
    <x v="2"/>
    <x v="1"/>
    <x v="0"/>
    <x v="0"/>
    <x v="22"/>
    <x v="7"/>
    <x v="8"/>
    <x v="2"/>
  </r>
  <r>
    <x v="1540"/>
    <x v="0"/>
    <x v="2"/>
    <n v="16.2"/>
    <n v="48.599999999999994"/>
    <x v="57"/>
    <d v="2025-02-27T00:00:00"/>
    <x v="1"/>
    <x v="4"/>
    <x v="2"/>
    <x v="0"/>
    <x v="3"/>
    <x v="7"/>
    <x v="8"/>
    <x v="1"/>
  </r>
  <r>
    <x v="1541"/>
    <x v="10"/>
    <x v="12"/>
    <n v="59.5"/>
    <n v="238"/>
    <x v="57"/>
    <d v="2025-02-28T00:00:00"/>
    <x v="1"/>
    <x v="1"/>
    <x v="2"/>
    <x v="0"/>
    <x v="3"/>
    <x v="3"/>
    <x v="8"/>
    <x v="1"/>
  </r>
  <r>
    <x v="1542"/>
    <x v="18"/>
    <x v="9"/>
    <n v="26.2"/>
    <n v="131"/>
    <x v="57"/>
    <d v="2025-03-02T00:00:00"/>
    <x v="1"/>
    <x v="3"/>
    <x v="4"/>
    <x v="0"/>
    <x v="3"/>
    <x v="2"/>
    <x v="8"/>
    <x v="1"/>
  </r>
  <r>
    <x v="1543"/>
    <x v="3"/>
    <x v="0"/>
    <n v="44.2"/>
    <n v="44.2"/>
    <x v="57"/>
    <d v="2025-03-02T00:00:00"/>
    <x v="2"/>
    <x v="1"/>
    <x v="0"/>
    <x v="0"/>
    <x v="3"/>
    <x v="2"/>
    <x v="8"/>
    <x v="2"/>
  </r>
  <r>
    <x v="1544"/>
    <x v="9"/>
    <x v="1"/>
    <n v="59.2"/>
    <n v="118.4"/>
    <x v="57"/>
    <d v="2025-02-27T00:00:00"/>
    <x v="2"/>
    <x v="1"/>
    <x v="4"/>
    <x v="0"/>
    <x v="3"/>
    <x v="7"/>
    <x v="8"/>
    <x v="2"/>
  </r>
  <r>
    <x v="1545"/>
    <x v="15"/>
    <x v="12"/>
    <n v="41.5"/>
    <n v="166"/>
    <x v="57"/>
    <d v="2025-03-01T00:00:00"/>
    <x v="2"/>
    <x v="0"/>
    <x v="0"/>
    <x v="0"/>
    <x v="16"/>
    <x v="1"/>
    <x v="8"/>
    <x v="2"/>
  </r>
  <r>
    <x v="1546"/>
    <x v="6"/>
    <x v="4"/>
    <n v="67.099999999999994"/>
    <n v="805.19999999999993"/>
    <x v="57"/>
    <d v="2025-03-13T00:00:00"/>
    <x v="2"/>
    <x v="0"/>
    <x v="2"/>
    <x v="0"/>
    <x v="23"/>
    <x v="12"/>
    <x v="8"/>
    <x v="2"/>
  </r>
  <r>
    <x v="1547"/>
    <x v="8"/>
    <x v="1"/>
    <n v="28.7"/>
    <n v="57.4"/>
    <x v="57"/>
    <d v="2025-03-03T00:00:00"/>
    <x v="2"/>
    <x v="1"/>
    <x v="0"/>
    <x v="0"/>
    <x v="6"/>
    <x v="5"/>
    <x v="8"/>
    <x v="2"/>
  </r>
  <r>
    <x v="1548"/>
    <x v="2"/>
    <x v="12"/>
    <n v="132.1"/>
    <n v="528.4"/>
    <x v="57"/>
    <d v="2025-02-28T00:00:00"/>
    <x v="2"/>
    <x v="0"/>
    <x v="1"/>
    <x v="0"/>
    <x v="6"/>
    <x v="3"/>
    <x v="8"/>
    <x v="2"/>
  </r>
  <r>
    <x v="1549"/>
    <x v="18"/>
    <x v="1"/>
    <n v="47"/>
    <n v="94"/>
    <x v="57"/>
    <d v="2025-03-01T00:00:00"/>
    <x v="1"/>
    <x v="4"/>
    <x v="0"/>
    <x v="0"/>
    <x v="8"/>
    <x v="1"/>
    <x v="8"/>
    <x v="1"/>
  </r>
  <r>
    <x v="1550"/>
    <x v="8"/>
    <x v="1"/>
    <n v="41.6"/>
    <n v="83.2"/>
    <x v="57"/>
    <d v="2025-03-03T00:00:00"/>
    <x v="1"/>
    <x v="1"/>
    <x v="2"/>
    <x v="0"/>
    <x v="8"/>
    <x v="5"/>
    <x v="8"/>
    <x v="1"/>
  </r>
  <r>
    <x v="1551"/>
    <x v="8"/>
    <x v="43"/>
    <n v="17.3"/>
    <n v="657.4"/>
    <x v="57"/>
    <d v="2025-03-01T00:00:00"/>
    <x v="1"/>
    <x v="2"/>
    <x v="2"/>
    <x v="0"/>
    <x v="8"/>
    <x v="1"/>
    <x v="8"/>
    <x v="1"/>
  </r>
  <r>
    <x v="1552"/>
    <x v="13"/>
    <x v="2"/>
    <n v="41.8"/>
    <n v="125.39999999999999"/>
    <x v="57"/>
    <d v="2025-03-02T00:00:00"/>
    <x v="1"/>
    <x v="0"/>
    <x v="2"/>
    <x v="0"/>
    <x v="8"/>
    <x v="2"/>
    <x v="8"/>
    <x v="1"/>
  </r>
  <r>
    <x v="1553"/>
    <x v="10"/>
    <x v="0"/>
    <n v="24"/>
    <n v="24"/>
    <x v="57"/>
    <d v="2025-02-28T00:00:00"/>
    <x v="2"/>
    <x v="0"/>
    <x v="0"/>
    <x v="0"/>
    <x v="17"/>
    <x v="3"/>
    <x v="8"/>
    <x v="2"/>
  </r>
  <r>
    <x v="1554"/>
    <x v="14"/>
    <x v="11"/>
    <n v="18.5"/>
    <n v="166.5"/>
    <x v="57"/>
    <d v="2025-03-01T00:00:00"/>
    <x v="2"/>
    <x v="0"/>
    <x v="0"/>
    <x v="0"/>
    <x v="9"/>
    <x v="1"/>
    <x v="8"/>
    <x v="2"/>
  </r>
  <r>
    <x v="1555"/>
    <x v="3"/>
    <x v="4"/>
    <n v="66.7"/>
    <n v="800.40000000000009"/>
    <x v="57"/>
    <d v="2025-03-02T00:00:00"/>
    <x v="0"/>
    <x v="0"/>
    <x v="2"/>
    <x v="0"/>
    <x v="11"/>
    <x v="2"/>
    <x v="8"/>
    <x v="0"/>
  </r>
  <r>
    <x v="1556"/>
    <x v="1"/>
    <x v="12"/>
    <n v="33.1"/>
    <n v="132.4"/>
    <x v="57"/>
    <d v="2025-03-04T00:00:00"/>
    <x v="1"/>
    <x v="3"/>
    <x v="0"/>
    <x v="0"/>
    <x v="11"/>
    <x v="0"/>
    <x v="8"/>
    <x v="1"/>
  </r>
  <r>
    <x v="1557"/>
    <x v="19"/>
    <x v="11"/>
    <n v="42.1"/>
    <n v="378.90000000000003"/>
    <x v="57"/>
    <d v="2025-03-10T00:00:00"/>
    <x v="1"/>
    <x v="1"/>
    <x v="0"/>
    <x v="0"/>
    <x v="18"/>
    <x v="11"/>
    <x v="8"/>
    <x v="1"/>
  </r>
  <r>
    <x v="1558"/>
    <x v="18"/>
    <x v="3"/>
    <n v="58.7"/>
    <n v="410.90000000000003"/>
    <x v="57"/>
    <d v="2025-02-27T00:00:00"/>
    <x v="3"/>
    <x v="3"/>
    <x v="0"/>
    <x v="0"/>
    <x v="31"/>
    <x v="7"/>
    <x v="8"/>
    <x v="3"/>
  </r>
  <r>
    <x v="1559"/>
    <x v="6"/>
    <x v="12"/>
    <n v="54"/>
    <n v="216"/>
    <x v="57"/>
    <d v="2025-03-01T00:00:00"/>
    <x v="2"/>
    <x v="1"/>
    <x v="0"/>
    <x v="0"/>
    <x v="1"/>
    <x v="1"/>
    <x v="8"/>
    <x v="2"/>
  </r>
  <r>
    <x v="1560"/>
    <x v="8"/>
    <x v="0"/>
    <n v="52.1"/>
    <n v="52.1"/>
    <x v="57"/>
    <d v="2025-02-28T00:00:00"/>
    <x v="2"/>
    <x v="2"/>
    <x v="2"/>
    <x v="0"/>
    <x v="2"/>
    <x v="3"/>
    <x v="8"/>
    <x v="2"/>
  </r>
  <r>
    <x v="1561"/>
    <x v="19"/>
    <x v="1"/>
    <n v="27"/>
    <n v="54"/>
    <x v="57"/>
    <d v="2025-03-02T00:00:00"/>
    <x v="3"/>
    <x v="2"/>
    <x v="0"/>
    <x v="0"/>
    <x v="22"/>
    <x v="2"/>
    <x v="8"/>
    <x v="3"/>
  </r>
  <r>
    <x v="1562"/>
    <x v="12"/>
    <x v="7"/>
    <n v="31"/>
    <n v="310"/>
    <x v="58"/>
    <d v="2025-03-01T00:00:00"/>
    <x v="2"/>
    <x v="3"/>
    <x v="2"/>
    <x v="0"/>
    <x v="22"/>
    <x v="3"/>
    <x v="8"/>
    <x v="2"/>
  </r>
  <r>
    <x v="1563"/>
    <x v="10"/>
    <x v="1"/>
    <n v="46.7"/>
    <n v="93.4"/>
    <x v="58"/>
    <d v="2025-02-28T00:00:00"/>
    <x v="2"/>
    <x v="0"/>
    <x v="0"/>
    <x v="0"/>
    <x v="34"/>
    <x v="7"/>
    <x v="8"/>
    <x v="2"/>
  </r>
  <r>
    <x v="1564"/>
    <x v="6"/>
    <x v="0"/>
    <n v="144.69999999999999"/>
    <n v="144.69999999999999"/>
    <x v="58"/>
    <d v="2025-03-03T00:00:00"/>
    <x v="1"/>
    <x v="0"/>
    <x v="2"/>
    <x v="0"/>
    <x v="3"/>
    <x v="2"/>
    <x v="8"/>
    <x v="1"/>
  </r>
  <r>
    <x v="1565"/>
    <x v="2"/>
    <x v="11"/>
    <n v="90.9"/>
    <n v="818.1"/>
    <x v="58"/>
    <d v="2025-03-01T00:00:00"/>
    <x v="1"/>
    <x v="0"/>
    <x v="2"/>
    <x v="0"/>
    <x v="3"/>
    <x v="3"/>
    <x v="8"/>
    <x v="1"/>
  </r>
  <r>
    <x v="1566"/>
    <x v="1"/>
    <x v="1"/>
    <n v="75.8"/>
    <n v="151.6"/>
    <x v="58"/>
    <d v="2025-03-01T00:00:00"/>
    <x v="2"/>
    <x v="2"/>
    <x v="1"/>
    <x v="0"/>
    <x v="3"/>
    <x v="3"/>
    <x v="8"/>
    <x v="2"/>
  </r>
  <r>
    <x v="1567"/>
    <x v="7"/>
    <x v="9"/>
    <n v="57.9"/>
    <n v="289.5"/>
    <x v="58"/>
    <d v="2025-03-02T00:00:00"/>
    <x v="1"/>
    <x v="2"/>
    <x v="2"/>
    <x v="0"/>
    <x v="3"/>
    <x v="1"/>
    <x v="8"/>
    <x v="1"/>
  </r>
  <r>
    <x v="1568"/>
    <x v="8"/>
    <x v="9"/>
    <n v="44.8"/>
    <n v="224"/>
    <x v="58"/>
    <d v="2025-03-01T00:00:00"/>
    <x v="2"/>
    <x v="3"/>
    <x v="2"/>
    <x v="0"/>
    <x v="3"/>
    <x v="3"/>
    <x v="8"/>
    <x v="2"/>
  </r>
  <r>
    <x v="1569"/>
    <x v="9"/>
    <x v="2"/>
    <n v="44.2"/>
    <n v="132.60000000000002"/>
    <x v="58"/>
    <d v="2025-03-04T00:00:00"/>
    <x v="1"/>
    <x v="2"/>
    <x v="2"/>
    <x v="0"/>
    <x v="3"/>
    <x v="5"/>
    <x v="8"/>
    <x v="1"/>
  </r>
  <r>
    <x v="1570"/>
    <x v="5"/>
    <x v="9"/>
    <n v="53.5"/>
    <n v="267.5"/>
    <x v="58"/>
    <d v="2025-03-02T00:00:00"/>
    <x v="1"/>
    <x v="0"/>
    <x v="0"/>
    <x v="0"/>
    <x v="37"/>
    <x v="1"/>
    <x v="8"/>
    <x v="1"/>
  </r>
  <r>
    <x v="1571"/>
    <x v="6"/>
    <x v="1"/>
    <n v="72.2"/>
    <n v="144.4"/>
    <x v="58"/>
    <d v="2025-03-01T00:00:00"/>
    <x v="1"/>
    <x v="0"/>
    <x v="2"/>
    <x v="0"/>
    <x v="25"/>
    <x v="3"/>
    <x v="8"/>
    <x v="1"/>
  </r>
  <r>
    <x v="1572"/>
    <x v="6"/>
    <x v="12"/>
    <n v="62.4"/>
    <n v="249.6"/>
    <x v="58"/>
    <d v="2025-03-03T00:00:00"/>
    <x v="2"/>
    <x v="0"/>
    <x v="1"/>
    <x v="0"/>
    <x v="23"/>
    <x v="2"/>
    <x v="8"/>
    <x v="2"/>
  </r>
  <r>
    <x v="1573"/>
    <x v="10"/>
    <x v="9"/>
    <n v="24.7"/>
    <n v="123.5"/>
    <x v="58"/>
    <d v="2025-03-01T00:00:00"/>
    <x v="2"/>
    <x v="0"/>
    <x v="0"/>
    <x v="0"/>
    <x v="6"/>
    <x v="3"/>
    <x v="8"/>
    <x v="2"/>
  </r>
  <r>
    <x v="1574"/>
    <x v="1"/>
    <x v="9"/>
    <n v="61.7"/>
    <n v="308.5"/>
    <x v="58"/>
    <d v="2025-03-02T00:00:00"/>
    <x v="2"/>
    <x v="2"/>
    <x v="0"/>
    <x v="0"/>
    <x v="8"/>
    <x v="1"/>
    <x v="8"/>
    <x v="2"/>
  </r>
  <r>
    <x v="1575"/>
    <x v="8"/>
    <x v="9"/>
    <n v="18.2"/>
    <n v="91"/>
    <x v="58"/>
    <d v="2025-03-02T00:00:00"/>
    <x v="2"/>
    <x v="3"/>
    <x v="0"/>
    <x v="0"/>
    <x v="8"/>
    <x v="1"/>
    <x v="8"/>
    <x v="2"/>
  </r>
  <r>
    <x v="1576"/>
    <x v="10"/>
    <x v="12"/>
    <n v="37.200000000000003"/>
    <n v="148.80000000000001"/>
    <x v="58"/>
    <d v="2025-03-06T00:00:00"/>
    <x v="2"/>
    <x v="0"/>
    <x v="0"/>
    <x v="0"/>
    <x v="8"/>
    <x v="4"/>
    <x v="8"/>
    <x v="2"/>
  </r>
  <r>
    <x v="1577"/>
    <x v="9"/>
    <x v="2"/>
    <n v="53.5"/>
    <n v="160.5"/>
    <x v="58"/>
    <d v="2025-03-02T00:00:00"/>
    <x v="2"/>
    <x v="1"/>
    <x v="2"/>
    <x v="0"/>
    <x v="9"/>
    <x v="1"/>
    <x v="8"/>
    <x v="2"/>
  </r>
  <r>
    <x v="1578"/>
    <x v="8"/>
    <x v="2"/>
    <n v="43.6"/>
    <n v="130.80000000000001"/>
    <x v="58"/>
    <d v="2025-02-28T00:00:00"/>
    <x v="2"/>
    <x v="0"/>
    <x v="0"/>
    <x v="0"/>
    <x v="9"/>
    <x v="7"/>
    <x v="8"/>
    <x v="2"/>
  </r>
  <r>
    <x v="1579"/>
    <x v="1"/>
    <x v="7"/>
    <n v="135"/>
    <n v="1350"/>
    <x v="58"/>
    <d v="2025-03-02T00:00:00"/>
    <x v="2"/>
    <x v="0"/>
    <x v="2"/>
    <x v="0"/>
    <x v="9"/>
    <x v="1"/>
    <x v="8"/>
    <x v="2"/>
  </r>
  <r>
    <x v="1580"/>
    <x v="8"/>
    <x v="9"/>
    <n v="38.5"/>
    <n v="192.5"/>
    <x v="58"/>
    <d v="2025-02-28T00:00:00"/>
    <x v="1"/>
    <x v="4"/>
    <x v="2"/>
    <x v="0"/>
    <x v="10"/>
    <x v="7"/>
    <x v="8"/>
    <x v="1"/>
  </r>
  <r>
    <x v="1581"/>
    <x v="9"/>
    <x v="1"/>
    <n v="24"/>
    <n v="48"/>
    <x v="58"/>
    <d v="2025-03-05T00:00:00"/>
    <x v="2"/>
    <x v="0"/>
    <x v="0"/>
    <x v="0"/>
    <x v="11"/>
    <x v="0"/>
    <x v="8"/>
    <x v="2"/>
  </r>
  <r>
    <x v="1582"/>
    <x v="4"/>
    <x v="2"/>
    <n v="28.2"/>
    <n v="84.6"/>
    <x v="58"/>
    <d v="2025-03-02T00:00:00"/>
    <x v="1"/>
    <x v="0"/>
    <x v="3"/>
    <x v="0"/>
    <x v="18"/>
    <x v="1"/>
    <x v="8"/>
    <x v="1"/>
  </r>
  <r>
    <x v="1583"/>
    <x v="7"/>
    <x v="2"/>
    <n v="37.4"/>
    <n v="112.19999999999999"/>
    <x v="58"/>
    <d v="2025-03-01T00:00:00"/>
    <x v="2"/>
    <x v="3"/>
    <x v="0"/>
    <x v="0"/>
    <x v="1"/>
    <x v="3"/>
    <x v="8"/>
    <x v="2"/>
  </r>
  <r>
    <x v="1584"/>
    <x v="6"/>
    <x v="2"/>
    <n v="53.5"/>
    <n v="160.5"/>
    <x v="58"/>
    <d v="2025-03-03T00:00:00"/>
    <x v="0"/>
    <x v="4"/>
    <x v="4"/>
    <x v="0"/>
    <x v="1"/>
    <x v="2"/>
    <x v="8"/>
    <x v="0"/>
  </r>
  <r>
    <x v="1585"/>
    <x v="11"/>
    <x v="9"/>
    <n v="36.200000000000003"/>
    <n v="181"/>
    <x v="58"/>
    <d v="2025-03-01T00:00:00"/>
    <x v="1"/>
    <x v="1"/>
    <x v="2"/>
    <x v="0"/>
    <x v="33"/>
    <x v="3"/>
    <x v="8"/>
    <x v="1"/>
  </r>
  <r>
    <x v="1586"/>
    <x v="0"/>
    <x v="8"/>
    <n v="31.9"/>
    <n v="255.2"/>
    <x v="58"/>
    <d v="2025-03-01T00:00:00"/>
    <x v="2"/>
    <x v="4"/>
    <x v="0"/>
    <x v="0"/>
    <x v="3"/>
    <x v="3"/>
    <x v="8"/>
    <x v="2"/>
  </r>
  <r>
    <x v="1587"/>
    <x v="8"/>
    <x v="2"/>
    <n v="21.3"/>
    <n v="63.900000000000006"/>
    <x v="58"/>
    <d v="2025-03-01T00:00:00"/>
    <x v="1"/>
    <x v="0"/>
    <x v="2"/>
    <x v="0"/>
    <x v="3"/>
    <x v="3"/>
    <x v="8"/>
    <x v="1"/>
  </r>
  <r>
    <x v="1588"/>
    <x v="8"/>
    <x v="0"/>
    <n v="36.299999999999997"/>
    <n v="36.299999999999997"/>
    <x v="58"/>
    <d v="2025-03-02T00:00:00"/>
    <x v="3"/>
    <x v="4"/>
    <x v="0"/>
    <x v="0"/>
    <x v="3"/>
    <x v="1"/>
    <x v="8"/>
    <x v="3"/>
  </r>
  <r>
    <x v="1589"/>
    <x v="6"/>
    <x v="2"/>
    <n v="110.5"/>
    <n v="331.5"/>
    <x v="58"/>
    <d v="2025-03-01T00:00:00"/>
    <x v="2"/>
    <x v="0"/>
    <x v="3"/>
    <x v="0"/>
    <x v="3"/>
    <x v="3"/>
    <x v="8"/>
    <x v="2"/>
  </r>
  <r>
    <x v="1590"/>
    <x v="10"/>
    <x v="3"/>
    <n v="32.6"/>
    <n v="228.20000000000002"/>
    <x v="58"/>
    <d v="2025-03-02T00:00:00"/>
    <x v="2"/>
    <x v="0"/>
    <x v="1"/>
    <x v="0"/>
    <x v="3"/>
    <x v="1"/>
    <x v="8"/>
    <x v="2"/>
  </r>
  <r>
    <x v="1591"/>
    <x v="5"/>
    <x v="2"/>
    <n v="55.6"/>
    <n v="166.8"/>
    <x v="59"/>
    <d v="2025-03-14T00:00:00"/>
    <x v="2"/>
    <x v="0"/>
    <x v="0"/>
    <x v="0"/>
    <x v="3"/>
    <x v="10"/>
    <x v="8"/>
    <x v="2"/>
  </r>
  <r>
    <x v="1592"/>
    <x v="1"/>
    <x v="12"/>
    <n v="38"/>
    <n v="152"/>
    <x v="59"/>
    <d v="2025-03-02T00:00:00"/>
    <x v="2"/>
    <x v="3"/>
    <x v="2"/>
    <x v="0"/>
    <x v="5"/>
    <x v="3"/>
    <x v="8"/>
    <x v="2"/>
  </r>
  <r>
    <x v="1593"/>
    <x v="10"/>
    <x v="1"/>
    <n v="51.8"/>
    <n v="103.6"/>
    <x v="59"/>
    <d v="2025-03-07T00:00:00"/>
    <x v="1"/>
    <x v="1"/>
    <x v="4"/>
    <x v="0"/>
    <x v="6"/>
    <x v="4"/>
    <x v="8"/>
    <x v="1"/>
  </r>
  <r>
    <x v="1594"/>
    <x v="11"/>
    <x v="8"/>
    <n v="28.7"/>
    <n v="229.6"/>
    <x v="59"/>
    <d v="2025-03-06T00:00:00"/>
    <x v="2"/>
    <x v="0"/>
    <x v="0"/>
    <x v="0"/>
    <x v="6"/>
    <x v="0"/>
    <x v="8"/>
    <x v="2"/>
  </r>
  <r>
    <x v="1595"/>
    <x v="6"/>
    <x v="4"/>
    <n v="52.2"/>
    <n v="626.40000000000009"/>
    <x v="59"/>
    <d v="2025-03-01T00:00:00"/>
    <x v="1"/>
    <x v="0"/>
    <x v="1"/>
    <x v="0"/>
    <x v="6"/>
    <x v="7"/>
    <x v="8"/>
    <x v="1"/>
  </r>
  <r>
    <x v="1596"/>
    <x v="1"/>
    <x v="1"/>
    <n v="68.2"/>
    <n v="136.4"/>
    <x v="59"/>
    <d v="2025-03-02T00:00:00"/>
    <x v="0"/>
    <x v="2"/>
    <x v="0"/>
    <x v="0"/>
    <x v="7"/>
    <x v="3"/>
    <x v="8"/>
    <x v="0"/>
  </r>
  <r>
    <x v="1597"/>
    <x v="0"/>
    <x v="2"/>
    <n v="34"/>
    <n v="102"/>
    <x v="59"/>
    <d v="2025-03-05T00:00:00"/>
    <x v="2"/>
    <x v="0"/>
    <x v="0"/>
    <x v="0"/>
    <x v="8"/>
    <x v="5"/>
    <x v="8"/>
    <x v="2"/>
  </r>
  <r>
    <x v="1598"/>
    <x v="8"/>
    <x v="2"/>
    <n v="19.100000000000001"/>
    <n v="57.300000000000004"/>
    <x v="59"/>
    <d v="2025-03-02T00:00:00"/>
    <x v="2"/>
    <x v="4"/>
    <x v="0"/>
    <x v="0"/>
    <x v="8"/>
    <x v="3"/>
    <x v="8"/>
    <x v="2"/>
  </r>
  <r>
    <x v="1599"/>
    <x v="5"/>
    <x v="8"/>
    <n v="34"/>
    <n v="272"/>
    <x v="59"/>
    <d v="2025-03-09T00:00:00"/>
    <x v="2"/>
    <x v="4"/>
    <x v="0"/>
    <x v="0"/>
    <x v="8"/>
    <x v="9"/>
    <x v="8"/>
    <x v="2"/>
  </r>
  <r>
    <x v="1600"/>
    <x v="12"/>
    <x v="1"/>
    <n v="109.1"/>
    <n v="218.2"/>
    <x v="59"/>
    <d v="2025-03-03T00:00:00"/>
    <x v="1"/>
    <x v="0"/>
    <x v="2"/>
    <x v="0"/>
    <x v="8"/>
    <x v="1"/>
    <x v="8"/>
    <x v="1"/>
  </r>
  <r>
    <x v="1601"/>
    <x v="18"/>
    <x v="1"/>
    <n v="64.8"/>
    <n v="129.6"/>
    <x v="59"/>
    <d v="2025-03-03T00:00:00"/>
    <x v="1"/>
    <x v="0"/>
    <x v="2"/>
    <x v="0"/>
    <x v="8"/>
    <x v="1"/>
    <x v="8"/>
    <x v="1"/>
  </r>
  <r>
    <x v="1602"/>
    <x v="10"/>
    <x v="1"/>
    <n v="21.1"/>
    <n v="42.2"/>
    <x v="59"/>
    <d v="2025-03-01T00:00:00"/>
    <x v="2"/>
    <x v="1"/>
    <x v="0"/>
    <x v="0"/>
    <x v="11"/>
    <x v="7"/>
    <x v="8"/>
    <x v="2"/>
  </r>
  <r>
    <x v="1603"/>
    <x v="0"/>
    <x v="8"/>
    <n v="21.3"/>
    <n v="170.4"/>
    <x v="59"/>
    <d v="2025-03-03T00:00:00"/>
    <x v="1"/>
    <x v="3"/>
    <x v="1"/>
    <x v="0"/>
    <x v="18"/>
    <x v="1"/>
    <x v="8"/>
    <x v="1"/>
  </r>
  <r>
    <x v="1604"/>
    <x v="9"/>
    <x v="2"/>
    <n v="24.3"/>
    <n v="72.900000000000006"/>
    <x v="59"/>
    <d v="2025-03-02T00:00:00"/>
    <x v="1"/>
    <x v="1"/>
    <x v="0"/>
    <x v="0"/>
    <x v="19"/>
    <x v="3"/>
    <x v="8"/>
    <x v="1"/>
  </r>
  <r>
    <x v="1605"/>
    <x v="8"/>
    <x v="0"/>
    <n v="43.3"/>
    <n v="43.3"/>
    <x v="59"/>
    <d v="2025-03-05T00:00:00"/>
    <x v="1"/>
    <x v="1"/>
    <x v="1"/>
    <x v="0"/>
    <x v="13"/>
    <x v="5"/>
    <x v="8"/>
    <x v="1"/>
  </r>
  <r>
    <x v="1606"/>
    <x v="9"/>
    <x v="2"/>
    <n v="41"/>
    <n v="123"/>
    <x v="59"/>
    <d v="2025-03-02T00:00:00"/>
    <x v="2"/>
    <x v="3"/>
    <x v="4"/>
    <x v="0"/>
    <x v="21"/>
    <x v="3"/>
    <x v="8"/>
    <x v="2"/>
  </r>
  <r>
    <x v="1607"/>
    <x v="16"/>
    <x v="2"/>
    <n v="54.1"/>
    <n v="162.30000000000001"/>
    <x v="59"/>
    <d v="2025-03-03T00:00:00"/>
    <x v="2"/>
    <x v="4"/>
    <x v="0"/>
    <x v="0"/>
    <x v="21"/>
    <x v="1"/>
    <x v="8"/>
    <x v="2"/>
  </r>
  <r>
    <x v="1608"/>
    <x v="11"/>
    <x v="1"/>
    <n v="39"/>
    <n v="78"/>
    <x v="59"/>
    <d v="2025-03-02T00:00:00"/>
    <x v="1"/>
    <x v="1"/>
    <x v="2"/>
    <x v="0"/>
    <x v="1"/>
    <x v="3"/>
    <x v="8"/>
    <x v="1"/>
  </r>
  <r>
    <x v="1609"/>
    <x v="8"/>
    <x v="1"/>
    <n v="40.299999999999997"/>
    <n v="80.599999999999994"/>
    <x v="59"/>
    <d v="2025-03-03T00:00:00"/>
    <x v="1"/>
    <x v="3"/>
    <x v="0"/>
    <x v="0"/>
    <x v="27"/>
    <x v="1"/>
    <x v="8"/>
    <x v="1"/>
  </r>
  <r>
    <x v="1610"/>
    <x v="8"/>
    <x v="2"/>
    <n v="24.1"/>
    <n v="72.300000000000011"/>
    <x v="59"/>
    <d v="2025-03-02T00:00:00"/>
    <x v="1"/>
    <x v="0"/>
    <x v="2"/>
    <x v="0"/>
    <x v="34"/>
    <x v="3"/>
    <x v="8"/>
    <x v="1"/>
  </r>
  <r>
    <x v="1611"/>
    <x v="6"/>
    <x v="9"/>
    <n v="52.3"/>
    <n v="261.5"/>
    <x v="59"/>
    <d v="2025-03-02T00:00:00"/>
    <x v="1"/>
    <x v="2"/>
    <x v="0"/>
    <x v="0"/>
    <x v="3"/>
    <x v="3"/>
    <x v="8"/>
    <x v="1"/>
  </r>
  <r>
    <x v="1612"/>
    <x v="12"/>
    <x v="12"/>
    <n v="68.8"/>
    <n v="275.2"/>
    <x v="59"/>
    <d v="2025-03-05T00:00:00"/>
    <x v="2"/>
    <x v="4"/>
    <x v="2"/>
    <x v="0"/>
    <x v="3"/>
    <x v="5"/>
    <x v="8"/>
    <x v="2"/>
  </r>
  <r>
    <x v="1613"/>
    <x v="2"/>
    <x v="1"/>
    <n v="128.80000000000001"/>
    <n v="257.60000000000002"/>
    <x v="60"/>
    <d v="2025-03-05T00:00:00"/>
    <x v="2"/>
    <x v="1"/>
    <x v="1"/>
    <x v="0"/>
    <x v="3"/>
    <x v="2"/>
    <x v="9"/>
    <x v="2"/>
  </r>
  <r>
    <x v="1614"/>
    <x v="15"/>
    <x v="9"/>
    <n v="48.2"/>
    <n v="241"/>
    <x v="60"/>
    <d v="2025-03-04T00:00:00"/>
    <x v="2"/>
    <x v="3"/>
    <x v="0"/>
    <x v="0"/>
    <x v="3"/>
    <x v="1"/>
    <x v="9"/>
    <x v="2"/>
  </r>
  <r>
    <x v="1615"/>
    <x v="10"/>
    <x v="0"/>
    <n v="39.700000000000003"/>
    <n v="39.700000000000003"/>
    <x v="60"/>
    <d v="2025-03-04T00:00:00"/>
    <x v="2"/>
    <x v="0"/>
    <x v="1"/>
    <x v="0"/>
    <x v="3"/>
    <x v="1"/>
    <x v="9"/>
    <x v="2"/>
  </r>
  <r>
    <x v="1616"/>
    <x v="9"/>
    <x v="0"/>
    <n v="59.7"/>
    <n v="59.7"/>
    <x v="60"/>
    <d v="2025-03-05T00:00:00"/>
    <x v="2"/>
    <x v="4"/>
    <x v="0"/>
    <x v="0"/>
    <x v="3"/>
    <x v="2"/>
    <x v="9"/>
    <x v="2"/>
  </r>
  <r>
    <x v="1617"/>
    <x v="6"/>
    <x v="0"/>
    <n v="48.3"/>
    <n v="48.3"/>
    <x v="60"/>
    <d v="2025-03-16T00:00:00"/>
    <x v="3"/>
    <x v="0"/>
    <x v="2"/>
    <x v="0"/>
    <x v="3"/>
    <x v="12"/>
    <x v="9"/>
    <x v="3"/>
  </r>
  <r>
    <x v="1618"/>
    <x v="8"/>
    <x v="2"/>
    <n v="45.5"/>
    <n v="136.5"/>
    <x v="60"/>
    <d v="2025-03-04T00:00:00"/>
    <x v="1"/>
    <x v="2"/>
    <x v="1"/>
    <x v="0"/>
    <x v="3"/>
    <x v="1"/>
    <x v="9"/>
    <x v="1"/>
  </r>
  <r>
    <x v="1619"/>
    <x v="9"/>
    <x v="6"/>
    <n v="51"/>
    <n v="1377"/>
    <x v="60"/>
    <d v="2025-03-02T00:00:00"/>
    <x v="2"/>
    <x v="2"/>
    <x v="0"/>
    <x v="0"/>
    <x v="3"/>
    <x v="7"/>
    <x v="9"/>
    <x v="2"/>
  </r>
  <r>
    <x v="1620"/>
    <x v="4"/>
    <x v="13"/>
    <n v="20.399999999999999"/>
    <n v="122.39999999999999"/>
    <x v="60"/>
    <d v="2025-03-03T00:00:00"/>
    <x v="1"/>
    <x v="2"/>
    <x v="0"/>
    <x v="0"/>
    <x v="3"/>
    <x v="3"/>
    <x v="9"/>
    <x v="1"/>
  </r>
  <r>
    <x v="1621"/>
    <x v="10"/>
    <x v="1"/>
    <n v="30.4"/>
    <n v="60.8"/>
    <x v="60"/>
    <d v="2025-03-04T00:00:00"/>
    <x v="1"/>
    <x v="2"/>
    <x v="0"/>
    <x v="0"/>
    <x v="3"/>
    <x v="1"/>
    <x v="9"/>
    <x v="1"/>
  </r>
  <r>
    <x v="1622"/>
    <x v="7"/>
    <x v="1"/>
    <n v="71.5"/>
    <n v="143"/>
    <x v="60"/>
    <d v="2025-03-06T00:00:00"/>
    <x v="2"/>
    <x v="0"/>
    <x v="0"/>
    <x v="0"/>
    <x v="3"/>
    <x v="5"/>
    <x v="9"/>
    <x v="2"/>
  </r>
  <r>
    <x v="1623"/>
    <x v="8"/>
    <x v="13"/>
    <n v="18"/>
    <n v="108"/>
    <x v="60"/>
    <d v="2025-03-03T00:00:00"/>
    <x v="3"/>
    <x v="1"/>
    <x v="2"/>
    <x v="0"/>
    <x v="6"/>
    <x v="3"/>
    <x v="9"/>
    <x v="3"/>
  </r>
  <r>
    <x v="1624"/>
    <x v="15"/>
    <x v="5"/>
    <n v="45.6"/>
    <n v="501.6"/>
    <x v="60"/>
    <d v="2025-03-03T00:00:00"/>
    <x v="3"/>
    <x v="1"/>
    <x v="1"/>
    <x v="0"/>
    <x v="7"/>
    <x v="3"/>
    <x v="9"/>
    <x v="3"/>
  </r>
  <r>
    <x v="1625"/>
    <x v="9"/>
    <x v="0"/>
    <n v="31.8"/>
    <n v="31.8"/>
    <x v="60"/>
    <d v="2025-03-06T00:00:00"/>
    <x v="2"/>
    <x v="0"/>
    <x v="2"/>
    <x v="0"/>
    <x v="7"/>
    <x v="5"/>
    <x v="9"/>
    <x v="2"/>
  </r>
  <r>
    <x v="1626"/>
    <x v="8"/>
    <x v="9"/>
    <n v="19.899999999999999"/>
    <n v="99.5"/>
    <x v="60"/>
    <d v="2025-03-03T00:00:00"/>
    <x v="2"/>
    <x v="1"/>
    <x v="0"/>
    <x v="0"/>
    <x v="7"/>
    <x v="3"/>
    <x v="9"/>
    <x v="2"/>
  </r>
  <r>
    <x v="1627"/>
    <x v="12"/>
    <x v="11"/>
    <n v="52.1"/>
    <n v="468.90000000000003"/>
    <x v="60"/>
    <d v="2025-03-04T00:00:00"/>
    <x v="1"/>
    <x v="0"/>
    <x v="0"/>
    <x v="0"/>
    <x v="8"/>
    <x v="1"/>
    <x v="9"/>
    <x v="1"/>
  </r>
  <r>
    <x v="1628"/>
    <x v="1"/>
    <x v="3"/>
    <n v="45.9"/>
    <n v="321.3"/>
    <x v="60"/>
    <d v="2025-03-03T00:00:00"/>
    <x v="1"/>
    <x v="0"/>
    <x v="1"/>
    <x v="0"/>
    <x v="8"/>
    <x v="3"/>
    <x v="9"/>
    <x v="1"/>
  </r>
  <r>
    <x v="1629"/>
    <x v="1"/>
    <x v="7"/>
    <n v="115.9"/>
    <n v="1159"/>
    <x v="60"/>
    <d v="2025-03-05T00:00:00"/>
    <x v="2"/>
    <x v="1"/>
    <x v="0"/>
    <x v="0"/>
    <x v="8"/>
    <x v="2"/>
    <x v="9"/>
    <x v="2"/>
  </r>
  <r>
    <x v="1630"/>
    <x v="6"/>
    <x v="11"/>
    <n v="86"/>
    <n v="774"/>
    <x v="60"/>
    <d v="2025-03-07T00:00:00"/>
    <x v="2"/>
    <x v="0"/>
    <x v="1"/>
    <x v="0"/>
    <x v="8"/>
    <x v="0"/>
    <x v="9"/>
    <x v="2"/>
  </r>
  <r>
    <x v="1631"/>
    <x v="7"/>
    <x v="3"/>
    <n v="73.599999999999994"/>
    <n v="515.19999999999993"/>
    <x v="60"/>
    <d v="2025-03-04T00:00:00"/>
    <x v="2"/>
    <x v="0"/>
    <x v="0"/>
    <x v="0"/>
    <x v="17"/>
    <x v="1"/>
    <x v="9"/>
    <x v="2"/>
  </r>
  <r>
    <x v="1632"/>
    <x v="10"/>
    <x v="2"/>
    <n v="26.7"/>
    <n v="80.099999999999994"/>
    <x v="60"/>
    <d v="2025-03-06T00:00:00"/>
    <x v="2"/>
    <x v="0"/>
    <x v="0"/>
    <x v="0"/>
    <x v="11"/>
    <x v="5"/>
    <x v="9"/>
    <x v="2"/>
  </r>
  <r>
    <x v="1633"/>
    <x v="8"/>
    <x v="3"/>
    <n v="46.6"/>
    <n v="326.2"/>
    <x v="60"/>
    <d v="2025-03-04T00:00:00"/>
    <x v="0"/>
    <x v="3"/>
    <x v="0"/>
    <x v="0"/>
    <x v="11"/>
    <x v="1"/>
    <x v="9"/>
    <x v="0"/>
  </r>
  <r>
    <x v="1634"/>
    <x v="3"/>
    <x v="2"/>
    <n v="84.6"/>
    <n v="253.79999999999998"/>
    <x v="60"/>
    <d v="2025-03-04T00:00:00"/>
    <x v="1"/>
    <x v="4"/>
    <x v="0"/>
    <x v="0"/>
    <x v="11"/>
    <x v="1"/>
    <x v="9"/>
    <x v="1"/>
  </r>
  <r>
    <x v="1635"/>
    <x v="7"/>
    <x v="21"/>
    <n v="41.5"/>
    <n v="581"/>
    <x v="60"/>
    <d v="2025-03-16T00:00:00"/>
    <x v="1"/>
    <x v="1"/>
    <x v="0"/>
    <x v="0"/>
    <x v="53"/>
    <x v="12"/>
    <x v="9"/>
    <x v="1"/>
  </r>
  <r>
    <x v="1636"/>
    <x v="8"/>
    <x v="0"/>
    <n v="32.799999999999997"/>
    <n v="32.799999999999997"/>
    <x v="60"/>
    <d v="2025-03-05T00:00:00"/>
    <x v="1"/>
    <x v="0"/>
    <x v="2"/>
    <x v="0"/>
    <x v="30"/>
    <x v="2"/>
    <x v="9"/>
    <x v="1"/>
  </r>
  <r>
    <x v="1637"/>
    <x v="4"/>
    <x v="3"/>
    <n v="46.7"/>
    <n v="326.90000000000003"/>
    <x v="60"/>
    <d v="2025-03-04T00:00:00"/>
    <x v="3"/>
    <x v="0"/>
    <x v="2"/>
    <x v="0"/>
    <x v="18"/>
    <x v="1"/>
    <x v="9"/>
    <x v="3"/>
  </r>
  <r>
    <x v="1638"/>
    <x v="15"/>
    <x v="3"/>
    <n v="21"/>
    <n v="147"/>
    <x v="60"/>
    <d v="2025-03-05T00:00:00"/>
    <x v="1"/>
    <x v="2"/>
    <x v="1"/>
    <x v="0"/>
    <x v="21"/>
    <x v="2"/>
    <x v="9"/>
    <x v="1"/>
  </r>
  <r>
    <x v="1639"/>
    <x v="5"/>
    <x v="3"/>
    <n v="29.4"/>
    <n v="205.79999999999998"/>
    <x v="60"/>
    <d v="2025-03-02T00:00:00"/>
    <x v="1"/>
    <x v="3"/>
    <x v="2"/>
    <x v="0"/>
    <x v="21"/>
    <x v="7"/>
    <x v="9"/>
    <x v="1"/>
  </r>
  <r>
    <x v="1640"/>
    <x v="15"/>
    <x v="1"/>
    <n v="32.299999999999997"/>
    <n v="64.599999999999994"/>
    <x v="60"/>
    <d v="2025-03-03T00:00:00"/>
    <x v="1"/>
    <x v="0"/>
    <x v="2"/>
    <x v="0"/>
    <x v="21"/>
    <x v="3"/>
    <x v="9"/>
    <x v="1"/>
  </r>
  <r>
    <x v="1641"/>
    <x v="6"/>
    <x v="0"/>
    <n v="42.2"/>
    <n v="42.2"/>
    <x v="61"/>
    <d v="2025-03-05T00:00:00"/>
    <x v="2"/>
    <x v="0"/>
    <x v="2"/>
    <x v="0"/>
    <x v="21"/>
    <x v="1"/>
    <x v="9"/>
    <x v="2"/>
  </r>
  <r>
    <x v="1642"/>
    <x v="6"/>
    <x v="0"/>
    <n v="53.7"/>
    <n v="53.7"/>
    <x v="61"/>
    <d v="2025-03-05T00:00:00"/>
    <x v="1"/>
    <x v="1"/>
    <x v="1"/>
    <x v="0"/>
    <x v="1"/>
    <x v="1"/>
    <x v="9"/>
    <x v="1"/>
  </r>
  <r>
    <x v="1643"/>
    <x v="2"/>
    <x v="1"/>
    <n v="123.9"/>
    <n v="247.8"/>
    <x v="61"/>
    <d v="2025-03-06T00:00:00"/>
    <x v="1"/>
    <x v="2"/>
    <x v="0"/>
    <x v="0"/>
    <x v="1"/>
    <x v="2"/>
    <x v="9"/>
    <x v="1"/>
  </r>
  <r>
    <x v="1644"/>
    <x v="4"/>
    <x v="2"/>
    <n v="35.9"/>
    <n v="107.69999999999999"/>
    <x v="61"/>
    <d v="2025-03-05T00:00:00"/>
    <x v="1"/>
    <x v="2"/>
    <x v="0"/>
    <x v="0"/>
    <x v="22"/>
    <x v="1"/>
    <x v="9"/>
    <x v="1"/>
  </r>
  <r>
    <x v="1645"/>
    <x v="4"/>
    <x v="1"/>
    <n v="23.6"/>
    <n v="47.2"/>
    <x v="61"/>
    <d v="2025-03-06T00:00:00"/>
    <x v="1"/>
    <x v="0"/>
    <x v="2"/>
    <x v="0"/>
    <x v="3"/>
    <x v="2"/>
    <x v="9"/>
    <x v="1"/>
  </r>
  <r>
    <x v="1646"/>
    <x v="15"/>
    <x v="36"/>
    <n v="45.7"/>
    <n v="1599.5"/>
    <x v="61"/>
    <d v="2025-03-04T00:00:00"/>
    <x v="1"/>
    <x v="0"/>
    <x v="1"/>
    <x v="0"/>
    <x v="3"/>
    <x v="3"/>
    <x v="9"/>
    <x v="1"/>
  </r>
  <r>
    <x v="1647"/>
    <x v="6"/>
    <x v="5"/>
    <n v="118.3"/>
    <n v="1301.3"/>
    <x v="61"/>
    <d v="2025-03-05T00:00:00"/>
    <x v="1"/>
    <x v="4"/>
    <x v="2"/>
    <x v="0"/>
    <x v="3"/>
    <x v="1"/>
    <x v="9"/>
    <x v="1"/>
  </r>
  <r>
    <x v="1648"/>
    <x v="19"/>
    <x v="0"/>
    <n v="36"/>
    <n v="36"/>
    <x v="61"/>
    <d v="2025-03-04T00:00:00"/>
    <x v="2"/>
    <x v="0"/>
    <x v="1"/>
    <x v="0"/>
    <x v="3"/>
    <x v="3"/>
    <x v="9"/>
    <x v="2"/>
  </r>
  <r>
    <x v="1649"/>
    <x v="8"/>
    <x v="1"/>
    <n v="37.1"/>
    <n v="74.2"/>
    <x v="61"/>
    <d v="2025-03-06T00:00:00"/>
    <x v="2"/>
    <x v="2"/>
    <x v="0"/>
    <x v="0"/>
    <x v="3"/>
    <x v="2"/>
    <x v="9"/>
    <x v="2"/>
  </r>
  <r>
    <x v="1650"/>
    <x v="18"/>
    <x v="2"/>
    <n v="45.1"/>
    <n v="135.30000000000001"/>
    <x v="61"/>
    <d v="2025-03-05T00:00:00"/>
    <x v="2"/>
    <x v="1"/>
    <x v="2"/>
    <x v="0"/>
    <x v="3"/>
    <x v="1"/>
    <x v="9"/>
    <x v="2"/>
  </r>
  <r>
    <x v="1651"/>
    <x v="5"/>
    <x v="27"/>
    <n v="37.9"/>
    <n v="606.4"/>
    <x v="61"/>
    <d v="2025-03-04T00:00:00"/>
    <x v="2"/>
    <x v="3"/>
    <x v="2"/>
    <x v="0"/>
    <x v="3"/>
    <x v="3"/>
    <x v="9"/>
    <x v="2"/>
  </r>
  <r>
    <x v="1652"/>
    <x v="2"/>
    <x v="1"/>
    <n v="121.6"/>
    <n v="243.2"/>
    <x v="61"/>
    <d v="2025-03-06T00:00:00"/>
    <x v="1"/>
    <x v="3"/>
    <x v="2"/>
    <x v="0"/>
    <x v="3"/>
    <x v="2"/>
    <x v="9"/>
    <x v="1"/>
  </r>
  <r>
    <x v="1653"/>
    <x v="5"/>
    <x v="3"/>
    <n v="38.200000000000003"/>
    <n v="267.40000000000003"/>
    <x v="61"/>
    <d v="2025-03-06T00:00:00"/>
    <x v="2"/>
    <x v="0"/>
    <x v="0"/>
    <x v="0"/>
    <x v="3"/>
    <x v="2"/>
    <x v="9"/>
    <x v="2"/>
  </r>
  <r>
    <x v="1654"/>
    <x v="17"/>
    <x v="1"/>
    <n v="37.200000000000003"/>
    <n v="74.400000000000006"/>
    <x v="61"/>
    <d v="2025-03-06T00:00:00"/>
    <x v="1"/>
    <x v="4"/>
    <x v="0"/>
    <x v="0"/>
    <x v="3"/>
    <x v="2"/>
    <x v="9"/>
    <x v="1"/>
  </r>
  <r>
    <x v="1655"/>
    <x v="2"/>
    <x v="12"/>
    <n v="115.7"/>
    <n v="462.8"/>
    <x v="61"/>
    <d v="2025-03-06T00:00:00"/>
    <x v="2"/>
    <x v="1"/>
    <x v="0"/>
    <x v="0"/>
    <x v="3"/>
    <x v="2"/>
    <x v="9"/>
    <x v="2"/>
  </r>
  <r>
    <x v="1656"/>
    <x v="2"/>
    <x v="13"/>
    <n v="99.4"/>
    <n v="596.40000000000009"/>
    <x v="61"/>
    <d v="2025-03-06T00:00:00"/>
    <x v="1"/>
    <x v="0"/>
    <x v="2"/>
    <x v="0"/>
    <x v="3"/>
    <x v="2"/>
    <x v="9"/>
    <x v="1"/>
  </r>
  <r>
    <x v="1657"/>
    <x v="11"/>
    <x v="0"/>
    <n v="38.700000000000003"/>
    <n v="38.700000000000003"/>
    <x v="61"/>
    <d v="2025-03-04T00:00:00"/>
    <x v="2"/>
    <x v="2"/>
    <x v="0"/>
    <x v="0"/>
    <x v="25"/>
    <x v="3"/>
    <x v="9"/>
    <x v="2"/>
  </r>
  <r>
    <x v="1658"/>
    <x v="4"/>
    <x v="1"/>
    <n v="35.5"/>
    <n v="71"/>
    <x v="61"/>
    <d v="2025-03-06T00:00:00"/>
    <x v="1"/>
    <x v="0"/>
    <x v="2"/>
    <x v="0"/>
    <x v="25"/>
    <x v="2"/>
    <x v="9"/>
    <x v="1"/>
  </r>
  <r>
    <x v="1659"/>
    <x v="2"/>
    <x v="12"/>
    <n v="93.3"/>
    <n v="373.2"/>
    <x v="61"/>
    <d v="2025-03-06T00:00:00"/>
    <x v="2"/>
    <x v="0"/>
    <x v="2"/>
    <x v="0"/>
    <x v="6"/>
    <x v="2"/>
    <x v="9"/>
    <x v="2"/>
  </r>
  <r>
    <x v="1660"/>
    <x v="16"/>
    <x v="0"/>
    <n v="31.4"/>
    <n v="31.4"/>
    <x v="61"/>
    <d v="2025-03-08T00:00:00"/>
    <x v="2"/>
    <x v="2"/>
    <x v="2"/>
    <x v="0"/>
    <x v="6"/>
    <x v="0"/>
    <x v="9"/>
    <x v="2"/>
  </r>
  <r>
    <x v="1661"/>
    <x v="1"/>
    <x v="0"/>
    <n v="85.9"/>
    <n v="85.9"/>
    <x v="61"/>
    <d v="2025-03-06T00:00:00"/>
    <x v="1"/>
    <x v="1"/>
    <x v="0"/>
    <x v="0"/>
    <x v="6"/>
    <x v="2"/>
    <x v="9"/>
    <x v="1"/>
  </r>
  <r>
    <x v="1662"/>
    <x v="6"/>
    <x v="8"/>
    <n v="41.7"/>
    <n v="333.6"/>
    <x v="61"/>
    <d v="2025-03-11T00:00:00"/>
    <x v="1"/>
    <x v="0"/>
    <x v="2"/>
    <x v="0"/>
    <x v="7"/>
    <x v="9"/>
    <x v="9"/>
    <x v="1"/>
  </r>
  <r>
    <x v="1663"/>
    <x v="8"/>
    <x v="12"/>
    <n v="31.5"/>
    <n v="126"/>
    <x v="61"/>
    <d v="2025-03-04T00:00:00"/>
    <x v="2"/>
    <x v="0"/>
    <x v="0"/>
    <x v="0"/>
    <x v="7"/>
    <x v="3"/>
    <x v="9"/>
    <x v="2"/>
  </r>
  <r>
    <x v="1664"/>
    <x v="8"/>
    <x v="1"/>
    <n v="36.299999999999997"/>
    <n v="72.599999999999994"/>
    <x v="61"/>
    <d v="2025-03-04T00:00:00"/>
    <x v="2"/>
    <x v="0"/>
    <x v="4"/>
    <x v="0"/>
    <x v="8"/>
    <x v="3"/>
    <x v="9"/>
    <x v="2"/>
  </r>
  <r>
    <x v="1665"/>
    <x v="8"/>
    <x v="2"/>
    <n v="33.4"/>
    <n v="100.19999999999999"/>
    <x v="61"/>
    <d v="2025-03-04T00:00:00"/>
    <x v="2"/>
    <x v="3"/>
    <x v="0"/>
    <x v="0"/>
    <x v="17"/>
    <x v="3"/>
    <x v="9"/>
    <x v="2"/>
  </r>
  <r>
    <x v="1666"/>
    <x v="2"/>
    <x v="2"/>
    <n v="65.2"/>
    <n v="195.60000000000002"/>
    <x v="61"/>
    <d v="2025-03-04T00:00:00"/>
    <x v="2"/>
    <x v="2"/>
    <x v="2"/>
    <x v="0"/>
    <x v="26"/>
    <x v="3"/>
    <x v="9"/>
    <x v="2"/>
  </r>
  <r>
    <x v="1667"/>
    <x v="8"/>
    <x v="11"/>
    <n v="65.5"/>
    <n v="589.5"/>
    <x v="61"/>
    <d v="2025-03-06T00:00:00"/>
    <x v="2"/>
    <x v="0"/>
    <x v="2"/>
    <x v="0"/>
    <x v="9"/>
    <x v="2"/>
    <x v="9"/>
    <x v="2"/>
  </r>
  <r>
    <x v="1668"/>
    <x v="6"/>
    <x v="2"/>
    <n v="52.8"/>
    <n v="158.39999999999998"/>
    <x v="61"/>
    <d v="2025-03-06T00:00:00"/>
    <x v="1"/>
    <x v="2"/>
    <x v="0"/>
    <x v="0"/>
    <x v="9"/>
    <x v="2"/>
    <x v="9"/>
    <x v="1"/>
  </r>
  <r>
    <x v="1669"/>
    <x v="9"/>
    <x v="9"/>
    <n v="24"/>
    <n v="120"/>
    <x v="61"/>
    <d v="2025-03-07T00:00:00"/>
    <x v="1"/>
    <x v="0"/>
    <x v="1"/>
    <x v="0"/>
    <x v="11"/>
    <x v="5"/>
    <x v="9"/>
    <x v="1"/>
  </r>
  <r>
    <x v="1670"/>
    <x v="3"/>
    <x v="2"/>
    <n v="51.2"/>
    <n v="153.60000000000002"/>
    <x v="61"/>
    <d v="2025-03-04T00:00:00"/>
    <x v="2"/>
    <x v="0"/>
    <x v="0"/>
    <x v="0"/>
    <x v="32"/>
    <x v="3"/>
    <x v="9"/>
    <x v="2"/>
  </r>
  <r>
    <x v="1671"/>
    <x v="5"/>
    <x v="2"/>
    <n v="28.3"/>
    <n v="84.9"/>
    <x v="61"/>
    <d v="2025-03-05T00:00:00"/>
    <x v="1"/>
    <x v="4"/>
    <x v="0"/>
    <x v="0"/>
    <x v="19"/>
    <x v="1"/>
    <x v="9"/>
    <x v="1"/>
  </r>
  <r>
    <x v="1672"/>
    <x v="6"/>
    <x v="2"/>
    <n v="42.3"/>
    <n v="126.89999999999999"/>
    <x v="61"/>
    <d v="2025-03-03T00:00:00"/>
    <x v="2"/>
    <x v="2"/>
    <x v="1"/>
    <x v="0"/>
    <x v="19"/>
    <x v="7"/>
    <x v="9"/>
    <x v="2"/>
  </r>
  <r>
    <x v="1673"/>
    <x v="2"/>
    <x v="8"/>
    <n v="163.30000000000001"/>
    <n v="1306.4000000000001"/>
    <x v="62"/>
    <d v="2025-03-05T00:00:00"/>
    <x v="2"/>
    <x v="1"/>
    <x v="0"/>
    <x v="0"/>
    <x v="13"/>
    <x v="3"/>
    <x v="9"/>
    <x v="2"/>
  </r>
  <r>
    <x v="1674"/>
    <x v="6"/>
    <x v="3"/>
    <n v="47.3"/>
    <n v="331.09999999999997"/>
    <x v="62"/>
    <d v="2025-03-07T00:00:00"/>
    <x v="2"/>
    <x v="4"/>
    <x v="1"/>
    <x v="0"/>
    <x v="21"/>
    <x v="2"/>
    <x v="9"/>
    <x v="2"/>
  </r>
  <r>
    <x v="1675"/>
    <x v="8"/>
    <x v="27"/>
    <n v="27.3"/>
    <n v="436.8"/>
    <x v="62"/>
    <d v="2025-03-05T00:00:00"/>
    <x v="2"/>
    <x v="2"/>
    <x v="0"/>
    <x v="0"/>
    <x v="21"/>
    <x v="3"/>
    <x v="9"/>
    <x v="2"/>
  </r>
  <r>
    <x v="1676"/>
    <x v="10"/>
    <x v="13"/>
    <n v="34.9"/>
    <n v="209.39999999999998"/>
    <x v="62"/>
    <d v="2025-03-15T00:00:00"/>
    <x v="2"/>
    <x v="0"/>
    <x v="0"/>
    <x v="0"/>
    <x v="21"/>
    <x v="11"/>
    <x v="9"/>
    <x v="2"/>
  </r>
  <r>
    <x v="1677"/>
    <x v="6"/>
    <x v="1"/>
    <n v="53.9"/>
    <n v="107.8"/>
    <x v="62"/>
    <d v="2025-03-07T00:00:00"/>
    <x v="3"/>
    <x v="0"/>
    <x v="4"/>
    <x v="0"/>
    <x v="1"/>
    <x v="2"/>
    <x v="9"/>
    <x v="3"/>
  </r>
  <r>
    <x v="1678"/>
    <x v="2"/>
    <x v="1"/>
    <n v="87.2"/>
    <n v="174.4"/>
    <x v="62"/>
    <d v="2025-03-05T00:00:00"/>
    <x v="2"/>
    <x v="0"/>
    <x v="1"/>
    <x v="0"/>
    <x v="1"/>
    <x v="3"/>
    <x v="9"/>
    <x v="2"/>
  </r>
  <r>
    <x v="1679"/>
    <x v="15"/>
    <x v="0"/>
    <n v="58.8"/>
    <n v="58.8"/>
    <x v="62"/>
    <d v="2025-03-06T00:00:00"/>
    <x v="2"/>
    <x v="2"/>
    <x v="0"/>
    <x v="0"/>
    <x v="44"/>
    <x v="1"/>
    <x v="9"/>
    <x v="2"/>
  </r>
  <r>
    <x v="1680"/>
    <x v="2"/>
    <x v="3"/>
    <n v="125.5"/>
    <n v="878.5"/>
    <x v="62"/>
    <d v="2025-03-05T00:00:00"/>
    <x v="1"/>
    <x v="2"/>
    <x v="4"/>
    <x v="0"/>
    <x v="22"/>
    <x v="3"/>
    <x v="9"/>
    <x v="1"/>
  </r>
  <r>
    <x v="1681"/>
    <x v="1"/>
    <x v="12"/>
    <n v="124.6"/>
    <n v="498.4"/>
    <x v="62"/>
    <d v="2025-03-06T00:00:00"/>
    <x v="2"/>
    <x v="0"/>
    <x v="1"/>
    <x v="0"/>
    <x v="22"/>
    <x v="1"/>
    <x v="9"/>
    <x v="2"/>
  </r>
  <r>
    <x v="1682"/>
    <x v="1"/>
    <x v="3"/>
    <n v="39.9"/>
    <n v="279.3"/>
    <x v="62"/>
    <d v="2025-03-05T00:00:00"/>
    <x v="1"/>
    <x v="2"/>
    <x v="1"/>
    <x v="0"/>
    <x v="3"/>
    <x v="3"/>
    <x v="9"/>
    <x v="1"/>
  </r>
  <r>
    <x v="1683"/>
    <x v="6"/>
    <x v="0"/>
    <n v="94.6"/>
    <n v="94.6"/>
    <x v="62"/>
    <d v="2025-03-18T00:00:00"/>
    <x v="2"/>
    <x v="0"/>
    <x v="1"/>
    <x v="0"/>
    <x v="3"/>
    <x v="12"/>
    <x v="9"/>
    <x v="2"/>
  </r>
  <r>
    <x v="1684"/>
    <x v="2"/>
    <x v="1"/>
    <n v="149.6"/>
    <n v="299.2"/>
    <x v="62"/>
    <d v="2025-03-05T00:00:00"/>
    <x v="2"/>
    <x v="0"/>
    <x v="0"/>
    <x v="0"/>
    <x v="3"/>
    <x v="3"/>
    <x v="9"/>
    <x v="2"/>
  </r>
  <r>
    <x v="1685"/>
    <x v="8"/>
    <x v="0"/>
    <n v="52.2"/>
    <n v="52.2"/>
    <x v="62"/>
    <d v="2025-03-05T00:00:00"/>
    <x v="0"/>
    <x v="1"/>
    <x v="0"/>
    <x v="0"/>
    <x v="3"/>
    <x v="3"/>
    <x v="9"/>
    <x v="0"/>
  </r>
  <r>
    <x v="1686"/>
    <x v="6"/>
    <x v="1"/>
    <n v="96.5"/>
    <n v="193"/>
    <x v="62"/>
    <d v="2025-03-05T00:00:00"/>
    <x v="2"/>
    <x v="1"/>
    <x v="1"/>
    <x v="0"/>
    <x v="3"/>
    <x v="3"/>
    <x v="9"/>
    <x v="2"/>
  </r>
  <r>
    <x v="1687"/>
    <x v="8"/>
    <x v="1"/>
    <n v="79.8"/>
    <n v="159.6"/>
    <x v="62"/>
    <d v="2025-03-06T00:00:00"/>
    <x v="2"/>
    <x v="0"/>
    <x v="1"/>
    <x v="0"/>
    <x v="3"/>
    <x v="1"/>
    <x v="9"/>
    <x v="2"/>
  </r>
  <r>
    <x v="1688"/>
    <x v="8"/>
    <x v="2"/>
    <n v="35.6"/>
    <n v="106.80000000000001"/>
    <x v="62"/>
    <d v="2025-03-05T00:00:00"/>
    <x v="2"/>
    <x v="2"/>
    <x v="0"/>
    <x v="0"/>
    <x v="3"/>
    <x v="3"/>
    <x v="9"/>
    <x v="2"/>
  </r>
  <r>
    <x v="1689"/>
    <x v="16"/>
    <x v="0"/>
    <n v="50.2"/>
    <n v="50.2"/>
    <x v="62"/>
    <d v="2025-03-05T00:00:00"/>
    <x v="2"/>
    <x v="1"/>
    <x v="2"/>
    <x v="0"/>
    <x v="3"/>
    <x v="3"/>
    <x v="9"/>
    <x v="2"/>
  </r>
  <r>
    <x v="1690"/>
    <x v="1"/>
    <x v="2"/>
    <n v="55.3"/>
    <n v="165.89999999999998"/>
    <x v="62"/>
    <d v="2025-03-07T00:00:00"/>
    <x v="2"/>
    <x v="0"/>
    <x v="4"/>
    <x v="0"/>
    <x v="40"/>
    <x v="2"/>
    <x v="9"/>
    <x v="2"/>
  </r>
  <r>
    <x v="1691"/>
    <x v="6"/>
    <x v="3"/>
    <n v="104.5"/>
    <n v="731.5"/>
    <x v="62"/>
    <d v="2025-03-08T00:00:00"/>
    <x v="2"/>
    <x v="1"/>
    <x v="0"/>
    <x v="0"/>
    <x v="7"/>
    <x v="5"/>
    <x v="9"/>
    <x v="2"/>
  </r>
  <r>
    <x v="1692"/>
    <x v="6"/>
    <x v="12"/>
    <n v="66.5"/>
    <n v="266"/>
    <x v="62"/>
    <d v="2025-03-06T00:00:00"/>
    <x v="1"/>
    <x v="1"/>
    <x v="0"/>
    <x v="0"/>
    <x v="7"/>
    <x v="1"/>
    <x v="9"/>
    <x v="1"/>
  </r>
  <r>
    <x v="1693"/>
    <x v="10"/>
    <x v="8"/>
    <n v="38.299999999999997"/>
    <n v="306.39999999999998"/>
    <x v="62"/>
    <d v="2025-03-05T00:00:00"/>
    <x v="2"/>
    <x v="0"/>
    <x v="0"/>
    <x v="0"/>
    <x v="7"/>
    <x v="3"/>
    <x v="9"/>
    <x v="2"/>
  </r>
  <r>
    <x v="1694"/>
    <x v="6"/>
    <x v="2"/>
    <n v="63.8"/>
    <n v="191.39999999999998"/>
    <x v="62"/>
    <d v="2025-03-07T00:00:00"/>
    <x v="2"/>
    <x v="1"/>
    <x v="0"/>
    <x v="0"/>
    <x v="8"/>
    <x v="2"/>
    <x v="9"/>
    <x v="2"/>
  </r>
  <r>
    <x v="1695"/>
    <x v="15"/>
    <x v="0"/>
    <n v="21.4"/>
    <n v="21.4"/>
    <x v="62"/>
    <d v="2025-03-04T00:00:00"/>
    <x v="1"/>
    <x v="4"/>
    <x v="0"/>
    <x v="0"/>
    <x v="8"/>
    <x v="7"/>
    <x v="9"/>
    <x v="1"/>
  </r>
  <r>
    <x v="1696"/>
    <x v="8"/>
    <x v="12"/>
    <n v="44.1"/>
    <n v="176.4"/>
    <x v="62"/>
    <d v="2025-03-06T00:00:00"/>
    <x v="2"/>
    <x v="2"/>
    <x v="0"/>
    <x v="0"/>
    <x v="8"/>
    <x v="1"/>
    <x v="9"/>
    <x v="2"/>
  </r>
  <r>
    <x v="1697"/>
    <x v="5"/>
    <x v="8"/>
    <n v="57.6"/>
    <n v="460.8"/>
    <x v="62"/>
    <d v="2025-03-06T00:00:00"/>
    <x v="1"/>
    <x v="1"/>
    <x v="2"/>
    <x v="0"/>
    <x v="8"/>
    <x v="1"/>
    <x v="9"/>
    <x v="1"/>
  </r>
  <r>
    <x v="1698"/>
    <x v="9"/>
    <x v="1"/>
    <n v="20.3"/>
    <n v="40.6"/>
    <x v="62"/>
    <d v="2025-03-10T00:00:00"/>
    <x v="2"/>
    <x v="3"/>
    <x v="0"/>
    <x v="0"/>
    <x v="8"/>
    <x v="4"/>
    <x v="9"/>
    <x v="2"/>
  </r>
  <r>
    <x v="1699"/>
    <x v="8"/>
    <x v="0"/>
    <n v="22.9"/>
    <n v="22.9"/>
    <x v="62"/>
    <d v="2025-03-06T00:00:00"/>
    <x v="2"/>
    <x v="2"/>
    <x v="2"/>
    <x v="0"/>
    <x v="8"/>
    <x v="1"/>
    <x v="9"/>
    <x v="2"/>
  </r>
  <r>
    <x v="1700"/>
    <x v="6"/>
    <x v="12"/>
    <n v="105.9"/>
    <n v="423.6"/>
    <x v="62"/>
    <d v="2025-03-05T00:00:00"/>
    <x v="2"/>
    <x v="1"/>
    <x v="2"/>
    <x v="0"/>
    <x v="17"/>
    <x v="3"/>
    <x v="9"/>
    <x v="2"/>
  </r>
  <r>
    <x v="1701"/>
    <x v="1"/>
    <x v="11"/>
    <n v="37.4"/>
    <n v="336.59999999999997"/>
    <x v="62"/>
    <d v="2025-03-08T00:00:00"/>
    <x v="1"/>
    <x v="1"/>
    <x v="0"/>
    <x v="0"/>
    <x v="11"/>
    <x v="5"/>
    <x v="9"/>
    <x v="1"/>
  </r>
  <r>
    <x v="1702"/>
    <x v="18"/>
    <x v="1"/>
    <n v="79"/>
    <n v="158"/>
    <x v="62"/>
    <d v="2025-03-05T00:00:00"/>
    <x v="1"/>
    <x v="2"/>
    <x v="0"/>
    <x v="0"/>
    <x v="28"/>
    <x v="3"/>
    <x v="9"/>
    <x v="1"/>
  </r>
  <r>
    <x v="1703"/>
    <x v="0"/>
    <x v="2"/>
    <n v="19.3"/>
    <n v="57.900000000000006"/>
    <x v="62"/>
    <d v="2025-03-05T00:00:00"/>
    <x v="2"/>
    <x v="4"/>
    <x v="0"/>
    <x v="0"/>
    <x v="21"/>
    <x v="3"/>
    <x v="9"/>
    <x v="2"/>
  </r>
  <r>
    <x v="1704"/>
    <x v="0"/>
    <x v="0"/>
    <n v="24"/>
    <n v="24"/>
    <x v="62"/>
    <d v="2025-03-05T00:00:00"/>
    <x v="2"/>
    <x v="1"/>
    <x v="0"/>
    <x v="0"/>
    <x v="1"/>
    <x v="3"/>
    <x v="9"/>
    <x v="2"/>
  </r>
  <r>
    <x v="1705"/>
    <x v="6"/>
    <x v="9"/>
    <n v="71.3"/>
    <n v="356.5"/>
    <x v="62"/>
    <d v="2025-03-07T00:00:00"/>
    <x v="2"/>
    <x v="2"/>
    <x v="0"/>
    <x v="0"/>
    <x v="2"/>
    <x v="2"/>
    <x v="9"/>
    <x v="2"/>
  </r>
  <r>
    <x v="1706"/>
    <x v="5"/>
    <x v="1"/>
    <n v="166.2"/>
    <n v="332.4"/>
    <x v="62"/>
    <d v="2025-03-05T00:00:00"/>
    <x v="1"/>
    <x v="0"/>
    <x v="2"/>
    <x v="0"/>
    <x v="50"/>
    <x v="3"/>
    <x v="9"/>
    <x v="1"/>
  </r>
  <r>
    <x v="1707"/>
    <x v="6"/>
    <x v="0"/>
    <n v="81"/>
    <n v="81"/>
    <x v="62"/>
    <d v="2025-03-05T00:00:00"/>
    <x v="2"/>
    <x v="2"/>
    <x v="1"/>
    <x v="0"/>
    <x v="3"/>
    <x v="3"/>
    <x v="9"/>
    <x v="2"/>
  </r>
  <r>
    <x v="1708"/>
    <x v="10"/>
    <x v="13"/>
    <n v="38.5"/>
    <n v="231"/>
    <x v="62"/>
    <d v="2025-03-08T00:00:00"/>
    <x v="2"/>
    <x v="0"/>
    <x v="0"/>
    <x v="0"/>
    <x v="3"/>
    <x v="5"/>
    <x v="9"/>
    <x v="2"/>
  </r>
  <r>
    <x v="1709"/>
    <x v="6"/>
    <x v="0"/>
    <n v="86.1"/>
    <n v="86.1"/>
    <x v="62"/>
    <d v="2025-03-06T00:00:00"/>
    <x v="2"/>
    <x v="3"/>
    <x v="0"/>
    <x v="0"/>
    <x v="3"/>
    <x v="1"/>
    <x v="9"/>
    <x v="2"/>
  </r>
  <r>
    <x v="1710"/>
    <x v="2"/>
    <x v="9"/>
    <n v="51"/>
    <n v="255"/>
    <x v="62"/>
    <d v="2025-03-05T00:00:00"/>
    <x v="1"/>
    <x v="0"/>
    <x v="1"/>
    <x v="0"/>
    <x v="3"/>
    <x v="3"/>
    <x v="9"/>
    <x v="1"/>
  </r>
  <r>
    <x v="1711"/>
    <x v="3"/>
    <x v="9"/>
    <n v="115.4"/>
    <n v="577"/>
    <x v="62"/>
    <d v="2025-03-05T00:00:00"/>
    <x v="1"/>
    <x v="0"/>
    <x v="0"/>
    <x v="0"/>
    <x v="3"/>
    <x v="3"/>
    <x v="9"/>
    <x v="1"/>
  </r>
  <r>
    <x v="1712"/>
    <x v="6"/>
    <x v="12"/>
    <n v="176.5"/>
    <n v="706"/>
    <x v="62"/>
    <d v="2025-03-05T00:00:00"/>
    <x v="2"/>
    <x v="2"/>
    <x v="2"/>
    <x v="0"/>
    <x v="3"/>
    <x v="3"/>
    <x v="9"/>
    <x v="2"/>
  </r>
  <r>
    <x v="1713"/>
    <x v="7"/>
    <x v="2"/>
    <n v="48.9"/>
    <n v="146.69999999999999"/>
    <x v="62"/>
    <d v="2025-03-05T00:00:00"/>
    <x v="1"/>
    <x v="4"/>
    <x v="0"/>
    <x v="0"/>
    <x v="3"/>
    <x v="3"/>
    <x v="9"/>
    <x v="1"/>
  </r>
  <r>
    <x v="1714"/>
    <x v="8"/>
    <x v="2"/>
    <n v="18.100000000000001"/>
    <n v="54.300000000000004"/>
    <x v="62"/>
    <d v="2025-03-11T00:00:00"/>
    <x v="2"/>
    <x v="1"/>
    <x v="2"/>
    <x v="0"/>
    <x v="29"/>
    <x v="6"/>
    <x v="9"/>
    <x v="2"/>
  </r>
  <r>
    <x v="1715"/>
    <x v="2"/>
    <x v="1"/>
    <n v="118.5"/>
    <n v="237"/>
    <x v="62"/>
    <d v="2025-03-07T00:00:00"/>
    <x v="1"/>
    <x v="1"/>
    <x v="2"/>
    <x v="0"/>
    <x v="16"/>
    <x v="2"/>
    <x v="9"/>
    <x v="1"/>
  </r>
  <r>
    <x v="1716"/>
    <x v="15"/>
    <x v="3"/>
    <n v="59.1"/>
    <n v="413.7"/>
    <x v="62"/>
    <d v="2025-03-05T00:00:00"/>
    <x v="2"/>
    <x v="3"/>
    <x v="0"/>
    <x v="0"/>
    <x v="25"/>
    <x v="3"/>
    <x v="9"/>
    <x v="2"/>
  </r>
  <r>
    <x v="1717"/>
    <x v="4"/>
    <x v="0"/>
    <n v="21.2"/>
    <n v="21.2"/>
    <x v="62"/>
    <d v="2025-03-05T00:00:00"/>
    <x v="2"/>
    <x v="0"/>
    <x v="1"/>
    <x v="0"/>
    <x v="6"/>
    <x v="3"/>
    <x v="9"/>
    <x v="2"/>
  </r>
  <r>
    <x v="1718"/>
    <x v="6"/>
    <x v="1"/>
    <n v="68.8"/>
    <n v="137.6"/>
    <x v="62"/>
    <d v="2025-03-09T00:00:00"/>
    <x v="2"/>
    <x v="3"/>
    <x v="2"/>
    <x v="0"/>
    <x v="6"/>
    <x v="0"/>
    <x v="9"/>
    <x v="2"/>
  </r>
  <r>
    <x v="1719"/>
    <x v="6"/>
    <x v="1"/>
    <n v="65.400000000000006"/>
    <n v="130.80000000000001"/>
    <x v="62"/>
    <d v="2025-03-08T00:00:00"/>
    <x v="2"/>
    <x v="0"/>
    <x v="0"/>
    <x v="0"/>
    <x v="6"/>
    <x v="5"/>
    <x v="9"/>
    <x v="2"/>
  </r>
  <r>
    <x v="1720"/>
    <x v="12"/>
    <x v="9"/>
    <n v="66.3"/>
    <n v="331.5"/>
    <x v="63"/>
    <d v="2025-03-08T00:00:00"/>
    <x v="2"/>
    <x v="4"/>
    <x v="0"/>
    <x v="0"/>
    <x v="6"/>
    <x v="2"/>
    <x v="9"/>
    <x v="2"/>
  </r>
  <r>
    <x v="1721"/>
    <x v="6"/>
    <x v="2"/>
    <n v="97.5"/>
    <n v="292.5"/>
    <x v="63"/>
    <d v="2025-03-05T00:00:00"/>
    <x v="1"/>
    <x v="3"/>
    <x v="0"/>
    <x v="0"/>
    <x v="8"/>
    <x v="7"/>
    <x v="9"/>
    <x v="1"/>
  </r>
  <r>
    <x v="1722"/>
    <x v="1"/>
    <x v="1"/>
    <n v="44"/>
    <n v="88"/>
    <x v="63"/>
    <d v="2025-03-08T00:00:00"/>
    <x v="2"/>
    <x v="1"/>
    <x v="2"/>
    <x v="0"/>
    <x v="8"/>
    <x v="2"/>
    <x v="9"/>
    <x v="2"/>
  </r>
  <r>
    <x v="1723"/>
    <x v="0"/>
    <x v="0"/>
    <n v="21.9"/>
    <n v="21.9"/>
    <x v="63"/>
    <d v="2025-03-06T00:00:00"/>
    <x v="1"/>
    <x v="0"/>
    <x v="0"/>
    <x v="0"/>
    <x v="8"/>
    <x v="3"/>
    <x v="9"/>
    <x v="1"/>
  </r>
  <r>
    <x v="1724"/>
    <x v="4"/>
    <x v="3"/>
    <n v="21.5"/>
    <n v="150.5"/>
    <x v="63"/>
    <d v="2025-03-07T00:00:00"/>
    <x v="2"/>
    <x v="1"/>
    <x v="2"/>
    <x v="0"/>
    <x v="9"/>
    <x v="1"/>
    <x v="9"/>
    <x v="2"/>
  </r>
  <r>
    <x v="1725"/>
    <x v="12"/>
    <x v="13"/>
    <n v="133"/>
    <n v="798"/>
    <x v="63"/>
    <d v="2025-03-06T00:00:00"/>
    <x v="3"/>
    <x v="0"/>
    <x v="2"/>
    <x v="0"/>
    <x v="10"/>
    <x v="3"/>
    <x v="9"/>
    <x v="3"/>
  </r>
  <r>
    <x v="1726"/>
    <x v="8"/>
    <x v="1"/>
    <n v="47.7"/>
    <n v="95.4"/>
    <x v="63"/>
    <d v="2025-03-09T00:00:00"/>
    <x v="1"/>
    <x v="0"/>
    <x v="2"/>
    <x v="0"/>
    <x v="10"/>
    <x v="5"/>
    <x v="9"/>
    <x v="1"/>
  </r>
  <r>
    <x v="1727"/>
    <x v="16"/>
    <x v="2"/>
    <n v="58.1"/>
    <n v="174.3"/>
    <x v="63"/>
    <d v="2025-03-06T00:00:00"/>
    <x v="2"/>
    <x v="0"/>
    <x v="0"/>
    <x v="0"/>
    <x v="11"/>
    <x v="3"/>
    <x v="9"/>
    <x v="2"/>
  </r>
  <r>
    <x v="1728"/>
    <x v="12"/>
    <x v="12"/>
    <n v="66.599999999999994"/>
    <n v="266.39999999999998"/>
    <x v="63"/>
    <d v="2025-03-06T00:00:00"/>
    <x v="0"/>
    <x v="0"/>
    <x v="0"/>
    <x v="0"/>
    <x v="11"/>
    <x v="3"/>
    <x v="9"/>
    <x v="0"/>
  </r>
  <r>
    <x v="1729"/>
    <x v="9"/>
    <x v="0"/>
    <n v="24.1"/>
    <n v="24.1"/>
    <x v="63"/>
    <d v="2025-03-08T00:00:00"/>
    <x v="1"/>
    <x v="2"/>
    <x v="1"/>
    <x v="0"/>
    <x v="19"/>
    <x v="2"/>
    <x v="9"/>
    <x v="1"/>
  </r>
  <r>
    <x v="1730"/>
    <x v="10"/>
    <x v="9"/>
    <n v="51.5"/>
    <n v="257.5"/>
    <x v="63"/>
    <d v="2025-03-10T00:00:00"/>
    <x v="2"/>
    <x v="0"/>
    <x v="0"/>
    <x v="0"/>
    <x v="13"/>
    <x v="0"/>
    <x v="9"/>
    <x v="2"/>
  </r>
  <r>
    <x v="1731"/>
    <x v="0"/>
    <x v="5"/>
    <n v="25.8"/>
    <n v="283.8"/>
    <x v="63"/>
    <d v="2025-03-09T00:00:00"/>
    <x v="2"/>
    <x v="3"/>
    <x v="4"/>
    <x v="0"/>
    <x v="21"/>
    <x v="5"/>
    <x v="9"/>
    <x v="2"/>
  </r>
  <r>
    <x v="1732"/>
    <x v="9"/>
    <x v="12"/>
    <n v="47.7"/>
    <n v="190.8"/>
    <x v="63"/>
    <d v="2025-03-05T00:00:00"/>
    <x v="2"/>
    <x v="0"/>
    <x v="1"/>
    <x v="0"/>
    <x v="21"/>
    <x v="7"/>
    <x v="9"/>
    <x v="2"/>
  </r>
  <r>
    <x v="1733"/>
    <x v="7"/>
    <x v="9"/>
    <n v="73.599999999999994"/>
    <n v="368"/>
    <x v="63"/>
    <d v="2025-03-09T00:00:00"/>
    <x v="1"/>
    <x v="1"/>
    <x v="0"/>
    <x v="0"/>
    <x v="21"/>
    <x v="5"/>
    <x v="9"/>
    <x v="1"/>
  </r>
  <r>
    <x v="1734"/>
    <x v="5"/>
    <x v="3"/>
    <n v="91.2"/>
    <n v="638.4"/>
    <x v="63"/>
    <d v="2025-03-06T00:00:00"/>
    <x v="1"/>
    <x v="1"/>
    <x v="2"/>
    <x v="0"/>
    <x v="21"/>
    <x v="3"/>
    <x v="9"/>
    <x v="1"/>
  </r>
  <r>
    <x v="1735"/>
    <x v="1"/>
    <x v="8"/>
    <n v="36.200000000000003"/>
    <n v="289.60000000000002"/>
    <x v="63"/>
    <d v="2025-03-05T00:00:00"/>
    <x v="1"/>
    <x v="2"/>
    <x v="2"/>
    <x v="0"/>
    <x v="1"/>
    <x v="7"/>
    <x v="9"/>
    <x v="1"/>
  </r>
  <r>
    <x v="1736"/>
    <x v="9"/>
    <x v="8"/>
    <n v="98"/>
    <n v="784"/>
    <x v="63"/>
    <d v="2025-03-09T00:00:00"/>
    <x v="2"/>
    <x v="2"/>
    <x v="0"/>
    <x v="0"/>
    <x v="2"/>
    <x v="5"/>
    <x v="9"/>
    <x v="2"/>
  </r>
  <r>
    <x v="1737"/>
    <x v="1"/>
    <x v="8"/>
    <n v="43.6"/>
    <n v="348.8"/>
    <x v="63"/>
    <d v="2025-03-06T00:00:00"/>
    <x v="2"/>
    <x v="2"/>
    <x v="0"/>
    <x v="0"/>
    <x v="22"/>
    <x v="3"/>
    <x v="9"/>
    <x v="2"/>
  </r>
  <r>
    <x v="1738"/>
    <x v="8"/>
    <x v="7"/>
    <n v="37.799999999999997"/>
    <n v="378"/>
    <x v="63"/>
    <d v="2025-03-05T00:00:00"/>
    <x v="3"/>
    <x v="0"/>
    <x v="0"/>
    <x v="0"/>
    <x v="50"/>
    <x v="7"/>
    <x v="9"/>
    <x v="3"/>
  </r>
  <r>
    <x v="1739"/>
    <x v="17"/>
    <x v="9"/>
    <n v="63.7"/>
    <n v="318.5"/>
    <x v="63"/>
    <d v="2025-03-08T00:00:00"/>
    <x v="2"/>
    <x v="2"/>
    <x v="1"/>
    <x v="0"/>
    <x v="3"/>
    <x v="2"/>
    <x v="9"/>
    <x v="2"/>
  </r>
  <r>
    <x v="1740"/>
    <x v="5"/>
    <x v="11"/>
    <n v="62.9"/>
    <n v="566.1"/>
    <x v="63"/>
    <d v="2025-03-10T00:00:00"/>
    <x v="1"/>
    <x v="3"/>
    <x v="2"/>
    <x v="0"/>
    <x v="3"/>
    <x v="0"/>
    <x v="9"/>
    <x v="1"/>
  </r>
  <r>
    <x v="1741"/>
    <x v="6"/>
    <x v="3"/>
    <n v="61.7"/>
    <n v="431.90000000000003"/>
    <x v="63"/>
    <d v="2025-03-08T00:00:00"/>
    <x v="2"/>
    <x v="2"/>
    <x v="2"/>
    <x v="0"/>
    <x v="3"/>
    <x v="2"/>
    <x v="9"/>
    <x v="2"/>
  </r>
  <r>
    <x v="1742"/>
    <x v="18"/>
    <x v="21"/>
    <n v="36.5"/>
    <n v="511"/>
    <x v="63"/>
    <d v="2025-03-06T00:00:00"/>
    <x v="1"/>
    <x v="0"/>
    <x v="2"/>
    <x v="0"/>
    <x v="3"/>
    <x v="3"/>
    <x v="9"/>
    <x v="1"/>
  </r>
  <r>
    <x v="1743"/>
    <x v="11"/>
    <x v="2"/>
    <n v="98.6"/>
    <n v="295.79999999999995"/>
    <x v="63"/>
    <d v="2025-03-08T00:00:00"/>
    <x v="3"/>
    <x v="0"/>
    <x v="4"/>
    <x v="0"/>
    <x v="3"/>
    <x v="2"/>
    <x v="9"/>
    <x v="3"/>
  </r>
  <r>
    <x v="1744"/>
    <x v="8"/>
    <x v="1"/>
    <n v="19.2"/>
    <n v="38.4"/>
    <x v="63"/>
    <d v="2025-03-15T00:00:00"/>
    <x v="1"/>
    <x v="0"/>
    <x v="0"/>
    <x v="0"/>
    <x v="3"/>
    <x v="14"/>
    <x v="9"/>
    <x v="1"/>
  </r>
  <r>
    <x v="1745"/>
    <x v="3"/>
    <x v="13"/>
    <n v="55.6"/>
    <n v="333.6"/>
    <x v="63"/>
    <d v="2025-03-09T00:00:00"/>
    <x v="2"/>
    <x v="0"/>
    <x v="2"/>
    <x v="0"/>
    <x v="3"/>
    <x v="5"/>
    <x v="9"/>
    <x v="2"/>
  </r>
  <r>
    <x v="1746"/>
    <x v="5"/>
    <x v="13"/>
    <n v="56.4"/>
    <n v="338.4"/>
    <x v="63"/>
    <d v="2025-03-06T00:00:00"/>
    <x v="2"/>
    <x v="1"/>
    <x v="0"/>
    <x v="0"/>
    <x v="3"/>
    <x v="3"/>
    <x v="9"/>
    <x v="2"/>
  </r>
  <r>
    <x v="1747"/>
    <x v="4"/>
    <x v="8"/>
    <n v="43.1"/>
    <n v="344.8"/>
    <x v="63"/>
    <d v="2025-03-09T00:00:00"/>
    <x v="2"/>
    <x v="4"/>
    <x v="0"/>
    <x v="0"/>
    <x v="3"/>
    <x v="5"/>
    <x v="9"/>
    <x v="2"/>
  </r>
  <r>
    <x v="1748"/>
    <x v="1"/>
    <x v="1"/>
    <n v="77.3"/>
    <n v="154.6"/>
    <x v="63"/>
    <d v="2025-03-07T00:00:00"/>
    <x v="1"/>
    <x v="0"/>
    <x v="0"/>
    <x v="0"/>
    <x v="6"/>
    <x v="1"/>
    <x v="9"/>
    <x v="1"/>
  </r>
  <r>
    <x v="1749"/>
    <x v="9"/>
    <x v="8"/>
    <n v="38.299999999999997"/>
    <n v="306.39999999999998"/>
    <x v="63"/>
    <d v="2025-03-06T00:00:00"/>
    <x v="1"/>
    <x v="0"/>
    <x v="0"/>
    <x v="0"/>
    <x v="7"/>
    <x v="3"/>
    <x v="9"/>
    <x v="1"/>
  </r>
  <r>
    <x v="1750"/>
    <x v="0"/>
    <x v="3"/>
    <n v="16.8"/>
    <n v="117.60000000000001"/>
    <x v="63"/>
    <d v="2025-03-08T00:00:00"/>
    <x v="1"/>
    <x v="2"/>
    <x v="1"/>
    <x v="0"/>
    <x v="8"/>
    <x v="2"/>
    <x v="9"/>
    <x v="1"/>
  </r>
  <r>
    <x v="1751"/>
    <x v="2"/>
    <x v="2"/>
    <n v="63.2"/>
    <n v="189.60000000000002"/>
    <x v="63"/>
    <d v="2025-03-06T00:00:00"/>
    <x v="2"/>
    <x v="0"/>
    <x v="2"/>
    <x v="0"/>
    <x v="8"/>
    <x v="3"/>
    <x v="9"/>
    <x v="2"/>
  </r>
  <r>
    <x v="1752"/>
    <x v="14"/>
    <x v="44"/>
    <n v="39.700000000000003"/>
    <n v="913.1"/>
    <x v="63"/>
    <d v="2025-03-06T00:00:00"/>
    <x v="1"/>
    <x v="0"/>
    <x v="0"/>
    <x v="0"/>
    <x v="8"/>
    <x v="3"/>
    <x v="9"/>
    <x v="1"/>
  </r>
  <r>
    <x v="1753"/>
    <x v="10"/>
    <x v="2"/>
    <n v="45.8"/>
    <n v="137.39999999999998"/>
    <x v="63"/>
    <d v="2025-03-06T00:00:00"/>
    <x v="2"/>
    <x v="1"/>
    <x v="2"/>
    <x v="0"/>
    <x v="8"/>
    <x v="3"/>
    <x v="9"/>
    <x v="2"/>
  </r>
  <r>
    <x v="1754"/>
    <x v="0"/>
    <x v="13"/>
    <n v="12.4"/>
    <n v="74.400000000000006"/>
    <x v="63"/>
    <d v="2025-03-08T00:00:00"/>
    <x v="1"/>
    <x v="0"/>
    <x v="0"/>
    <x v="0"/>
    <x v="8"/>
    <x v="2"/>
    <x v="9"/>
    <x v="1"/>
  </r>
  <r>
    <x v="1755"/>
    <x v="14"/>
    <x v="2"/>
    <n v="50.8"/>
    <n v="152.39999999999998"/>
    <x v="64"/>
    <d v="2025-03-06T00:00:00"/>
    <x v="2"/>
    <x v="4"/>
    <x v="0"/>
    <x v="0"/>
    <x v="17"/>
    <x v="7"/>
    <x v="9"/>
    <x v="2"/>
  </r>
  <r>
    <x v="1756"/>
    <x v="9"/>
    <x v="0"/>
    <n v="76"/>
    <n v="76"/>
    <x v="64"/>
    <d v="2025-03-10T00:00:00"/>
    <x v="3"/>
    <x v="2"/>
    <x v="2"/>
    <x v="0"/>
    <x v="17"/>
    <x v="5"/>
    <x v="9"/>
    <x v="3"/>
  </r>
  <r>
    <x v="1757"/>
    <x v="1"/>
    <x v="1"/>
    <n v="51.9"/>
    <n v="103.8"/>
    <x v="64"/>
    <d v="2025-03-07T00:00:00"/>
    <x v="1"/>
    <x v="1"/>
    <x v="2"/>
    <x v="0"/>
    <x v="26"/>
    <x v="3"/>
    <x v="9"/>
    <x v="1"/>
  </r>
  <r>
    <x v="1758"/>
    <x v="2"/>
    <x v="1"/>
    <n v="93.4"/>
    <n v="186.8"/>
    <x v="64"/>
    <d v="2025-03-13T00:00:00"/>
    <x v="1"/>
    <x v="0"/>
    <x v="3"/>
    <x v="0"/>
    <x v="11"/>
    <x v="6"/>
    <x v="9"/>
    <x v="1"/>
  </r>
  <r>
    <x v="1759"/>
    <x v="7"/>
    <x v="13"/>
    <n v="30.8"/>
    <n v="184.8"/>
    <x v="64"/>
    <d v="2025-03-09T00:00:00"/>
    <x v="2"/>
    <x v="1"/>
    <x v="0"/>
    <x v="0"/>
    <x v="11"/>
    <x v="2"/>
    <x v="9"/>
    <x v="2"/>
  </r>
  <r>
    <x v="1760"/>
    <x v="2"/>
    <x v="0"/>
    <n v="143.19999999999999"/>
    <n v="143.19999999999999"/>
    <x v="64"/>
    <d v="2025-03-09T00:00:00"/>
    <x v="1"/>
    <x v="2"/>
    <x v="0"/>
    <x v="0"/>
    <x v="11"/>
    <x v="2"/>
    <x v="9"/>
    <x v="1"/>
  </r>
  <r>
    <x v="1761"/>
    <x v="6"/>
    <x v="5"/>
    <n v="40.4"/>
    <n v="444.4"/>
    <x v="64"/>
    <d v="2025-03-08T00:00:00"/>
    <x v="1"/>
    <x v="2"/>
    <x v="2"/>
    <x v="0"/>
    <x v="18"/>
    <x v="1"/>
    <x v="9"/>
    <x v="1"/>
  </r>
  <r>
    <x v="1762"/>
    <x v="2"/>
    <x v="10"/>
    <n v="131.5"/>
    <n v="2498.5"/>
    <x v="64"/>
    <d v="2025-03-08T00:00:00"/>
    <x v="1"/>
    <x v="1"/>
    <x v="1"/>
    <x v="0"/>
    <x v="18"/>
    <x v="1"/>
    <x v="9"/>
    <x v="1"/>
  </r>
  <r>
    <x v="1763"/>
    <x v="18"/>
    <x v="3"/>
    <n v="61.6"/>
    <n v="431.2"/>
    <x v="64"/>
    <d v="2025-03-07T00:00:00"/>
    <x v="1"/>
    <x v="2"/>
    <x v="0"/>
    <x v="0"/>
    <x v="21"/>
    <x v="3"/>
    <x v="9"/>
    <x v="1"/>
  </r>
  <r>
    <x v="1764"/>
    <x v="9"/>
    <x v="9"/>
    <n v="32.700000000000003"/>
    <n v="163.5"/>
    <x v="64"/>
    <d v="2025-03-08T00:00:00"/>
    <x v="1"/>
    <x v="2"/>
    <x v="0"/>
    <x v="0"/>
    <x v="1"/>
    <x v="1"/>
    <x v="9"/>
    <x v="1"/>
  </r>
  <r>
    <x v="1765"/>
    <x v="0"/>
    <x v="7"/>
    <n v="13.7"/>
    <n v="137"/>
    <x v="64"/>
    <d v="2025-03-07T00:00:00"/>
    <x v="1"/>
    <x v="0"/>
    <x v="2"/>
    <x v="0"/>
    <x v="3"/>
    <x v="3"/>
    <x v="9"/>
    <x v="1"/>
  </r>
  <r>
    <x v="1766"/>
    <x v="0"/>
    <x v="12"/>
    <n v="32.1"/>
    <n v="128.4"/>
    <x v="64"/>
    <d v="2025-03-07T00:00:00"/>
    <x v="1"/>
    <x v="4"/>
    <x v="1"/>
    <x v="0"/>
    <x v="3"/>
    <x v="3"/>
    <x v="9"/>
    <x v="1"/>
  </r>
  <r>
    <x v="1767"/>
    <x v="14"/>
    <x v="8"/>
    <n v="12"/>
    <n v="96"/>
    <x v="64"/>
    <d v="2025-03-07T00:00:00"/>
    <x v="1"/>
    <x v="1"/>
    <x v="0"/>
    <x v="0"/>
    <x v="24"/>
    <x v="3"/>
    <x v="9"/>
    <x v="1"/>
  </r>
  <r>
    <x v="1768"/>
    <x v="12"/>
    <x v="0"/>
    <n v="64.3"/>
    <n v="64.3"/>
    <x v="64"/>
    <d v="2025-03-08T00:00:00"/>
    <x v="2"/>
    <x v="2"/>
    <x v="2"/>
    <x v="0"/>
    <x v="6"/>
    <x v="1"/>
    <x v="9"/>
    <x v="2"/>
  </r>
  <r>
    <x v="1769"/>
    <x v="1"/>
    <x v="2"/>
    <n v="58.2"/>
    <n v="174.60000000000002"/>
    <x v="64"/>
    <d v="2025-03-08T00:00:00"/>
    <x v="2"/>
    <x v="1"/>
    <x v="2"/>
    <x v="0"/>
    <x v="6"/>
    <x v="1"/>
    <x v="9"/>
    <x v="2"/>
  </r>
  <r>
    <x v="1770"/>
    <x v="6"/>
    <x v="12"/>
    <n v="59.2"/>
    <n v="236.8"/>
    <x v="64"/>
    <d v="2025-03-06T00:00:00"/>
    <x v="1"/>
    <x v="1"/>
    <x v="2"/>
    <x v="0"/>
    <x v="6"/>
    <x v="7"/>
    <x v="9"/>
    <x v="1"/>
  </r>
  <r>
    <x v="1771"/>
    <x v="10"/>
    <x v="5"/>
    <n v="35.6"/>
    <n v="391.6"/>
    <x v="64"/>
    <d v="2025-03-13T00:00:00"/>
    <x v="1"/>
    <x v="0"/>
    <x v="2"/>
    <x v="0"/>
    <x v="8"/>
    <x v="6"/>
    <x v="9"/>
    <x v="1"/>
  </r>
  <r>
    <x v="1772"/>
    <x v="16"/>
    <x v="8"/>
    <n v="37"/>
    <n v="296"/>
    <x v="64"/>
    <d v="2025-03-10T00:00:00"/>
    <x v="2"/>
    <x v="2"/>
    <x v="1"/>
    <x v="0"/>
    <x v="8"/>
    <x v="5"/>
    <x v="9"/>
    <x v="2"/>
  </r>
  <r>
    <x v="1773"/>
    <x v="1"/>
    <x v="15"/>
    <n v="80.8"/>
    <n v="1050.3999999999999"/>
    <x v="64"/>
    <d v="2025-03-08T00:00:00"/>
    <x v="2"/>
    <x v="0"/>
    <x v="0"/>
    <x v="0"/>
    <x v="8"/>
    <x v="1"/>
    <x v="9"/>
    <x v="2"/>
  </r>
  <r>
    <x v="1774"/>
    <x v="8"/>
    <x v="1"/>
    <n v="63.2"/>
    <n v="126.4"/>
    <x v="64"/>
    <d v="2025-03-07T00:00:00"/>
    <x v="1"/>
    <x v="0"/>
    <x v="1"/>
    <x v="0"/>
    <x v="8"/>
    <x v="3"/>
    <x v="9"/>
    <x v="1"/>
  </r>
  <r>
    <x v="1775"/>
    <x v="3"/>
    <x v="1"/>
    <n v="40.799999999999997"/>
    <n v="81.599999999999994"/>
    <x v="64"/>
    <d v="2025-03-08T00:00:00"/>
    <x v="1"/>
    <x v="0"/>
    <x v="1"/>
    <x v="0"/>
    <x v="17"/>
    <x v="1"/>
    <x v="9"/>
    <x v="1"/>
  </r>
  <r>
    <x v="1776"/>
    <x v="13"/>
    <x v="13"/>
    <n v="25.7"/>
    <n v="154.19999999999999"/>
    <x v="64"/>
    <d v="2025-03-08T00:00:00"/>
    <x v="1"/>
    <x v="4"/>
    <x v="0"/>
    <x v="0"/>
    <x v="18"/>
    <x v="1"/>
    <x v="9"/>
    <x v="1"/>
  </r>
  <r>
    <x v="1777"/>
    <x v="16"/>
    <x v="1"/>
    <n v="49.9"/>
    <n v="99.8"/>
    <x v="64"/>
    <d v="2025-03-09T00:00:00"/>
    <x v="1"/>
    <x v="0"/>
    <x v="0"/>
    <x v="0"/>
    <x v="20"/>
    <x v="2"/>
    <x v="9"/>
    <x v="1"/>
  </r>
  <r>
    <x v="1778"/>
    <x v="8"/>
    <x v="1"/>
    <n v="20.2"/>
    <n v="40.4"/>
    <x v="64"/>
    <d v="2025-03-08T00:00:00"/>
    <x v="2"/>
    <x v="3"/>
    <x v="0"/>
    <x v="0"/>
    <x v="21"/>
    <x v="1"/>
    <x v="9"/>
    <x v="2"/>
  </r>
  <r>
    <x v="1779"/>
    <x v="6"/>
    <x v="2"/>
    <n v="48.4"/>
    <n v="145.19999999999999"/>
    <x v="64"/>
    <d v="2025-03-11T00:00:00"/>
    <x v="2"/>
    <x v="0"/>
    <x v="2"/>
    <x v="0"/>
    <x v="21"/>
    <x v="0"/>
    <x v="9"/>
    <x v="2"/>
  </r>
  <r>
    <x v="1780"/>
    <x v="6"/>
    <x v="1"/>
    <n v="81"/>
    <n v="162"/>
    <x v="64"/>
    <d v="2025-03-07T00:00:00"/>
    <x v="2"/>
    <x v="1"/>
    <x v="2"/>
    <x v="0"/>
    <x v="21"/>
    <x v="3"/>
    <x v="9"/>
    <x v="2"/>
  </r>
  <r>
    <x v="1781"/>
    <x v="8"/>
    <x v="13"/>
    <n v="19.899999999999999"/>
    <n v="119.39999999999999"/>
    <x v="64"/>
    <d v="2025-03-09T00:00:00"/>
    <x v="2"/>
    <x v="0"/>
    <x v="1"/>
    <x v="0"/>
    <x v="22"/>
    <x v="2"/>
    <x v="9"/>
    <x v="2"/>
  </r>
  <r>
    <x v="1782"/>
    <x v="4"/>
    <x v="12"/>
    <n v="32.200000000000003"/>
    <n v="128.80000000000001"/>
    <x v="64"/>
    <d v="2025-03-16T00:00:00"/>
    <x v="1"/>
    <x v="0"/>
    <x v="0"/>
    <x v="0"/>
    <x v="22"/>
    <x v="14"/>
    <x v="9"/>
    <x v="1"/>
  </r>
  <r>
    <x v="1783"/>
    <x v="5"/>
    <x v="2"/>
    <n v="76.8"/>
    <n v="230.39999999999998"/>
    <x v="64"/>
    <d v="2025-03-07T00:00:00"/>
    <x v="2"/>
    <x v="0"/>
    <x v="1"/>
    <x v="0"/>
    <x v="3"/>
    <x v="3"/>
    <x v="9"/>
    <x v="2"/>
  </r>
  <r>
    <x v="1784"/>
    <x v="6"/>
    <x v="1"/>
    <n v="41.9"/>
    <n v="83.8"/>
    <x v="64"/>
    <d v="2025-03-08T00:00:00"/>
    <x v="2"/>
    <x v="0"/>
    <x v="0"/>
    <x v="0"/>
    <x v="3"/>
    <x v="1"/>
    <x v="9"/>
    <x v="2"/>
  </r>
  <r>
    <x v="1785"/>
    <x v="0"/>
    <x v="3"/>
    <n v="34"/>
    <n v="238"/>
    <x v="64"/>
    <d v="2025-03-08T00:00:00"/>
    <x v="2"/>
    <x v="1"/>
    <x v="2"/>
    <x v="0"/>
    <x v="3"/>
    <x v="1"/>
    <x v="9"/>
    <x v="2"/>
  </r>
  <r>
    <x v="1786"/>
    <x v="7"/>
    <x v="3"/>
    <n v="61.3"/>
    <n v="429.09999999999997"/>
    <x v="64"/>
    <d v="2025-03-06T00:00:00"/>
    <x v="2"/>
    <x v="4"/>
    <x v="2"/>
    <x v="0"/>
    <x v="3"/>
    <x v="7"/>
    <x v="9"/>
    <x v="2"/>
  </r>
  <r>
    <x v="1787"/>
    <x v="9"/>
    <x v="0"/>
    <n v="54.7"/>
    <n v="54.7"/>
    <x v="65"/>
    <d v="2025-03-08T00:00:00"/>
    <x v="1"/>
    <x v="0"/>
    <x v="1"/>
    <x v="0"/>
    <x v="3"/>
    <x v="3"/>
    <x v="9"/>
    <x v="1"/>
  </r>
  <r>
    <x v="1788"/>
    <x v="6"/>
    <x v="7"/>
    <n v="84.7"/>
    <n v="847"/>
    <x v="65"/>
    <d v="2025-03-11T00:00:00"/>
    <x v="2"/>
    <x v="0"/>
    <x v="0"/>
    <x v="0"/>
    <x v="3"/>
    <x v="5"/>
    <x v="9"/>
    <x v="2"/>
  </r>
  <r>
    <x v="1789"/>
    <x v="1"/>
    <x v="2"/>
    <n v="93.4"/>
    <n v="280.20000000000005"/>
    <x v="65"/>
    <d v="2025-03-11T00:00:00"/>
    <x v="2"/>
    <x v="3"/>
    <x v="0"/>
    <x v="0"/>
    <x v="3"/>
    <x v="5"/>
    <x v="9"/>
    <x v="2"/>
  </r>
  <r>
    <x v="1790"/>
    <x v="8"/>
    <x v="9"/>
    <n v="27"/>
    <n v="135"/>
    <x v="65"/>
    <d v="2025-03-10T00:00:00"/>
    <x v="1"/>
    <x v="0"/>
    <x v="1"/>
    <x v="0"/>
    <x v="3"/>
    <x v="2"/>
    <x v="9"/>
    <x v="1"/>
  </r>
  <r>
    <x v="1791"/>
    <x v="0"/>
    <x v="12"/>
    <n v="10.9"/>
    <n v="43.6"/>
    <x v="65"/>
    <d v="2025-03-08T00:00:00"/>
    <x v="1"/>
    <x v="2"/>
    <x v="0"/>
    <x v="0"/>
    <x v="3"/>
    <x v="3"/>
    <x v="9"/>
    <x v="1"/>
  </r>
  <r>
    <x v="1792"/>
    <x v="16"/>
    <x v="2"/>
    <n v="48"/>
    <n v="144"/>
    <x v="65"/>
    <d v="2025-03-12T00:00:00"/>
    <x v="2"/>
    <x v="4"/>
    <x v="0"/>
    <x v="0"/>
    <x v="3"/>
    <x v="0"/>
    <x v="9"/>
    <x v="2"/>
  </r>
  <r>
    <x v="1793"/>
    <x v="5"/>
    <x v="1"/>
    <n v="67.900000000000006"/>
    <n v="135.80000000000001"/>
    <x v="65"/>
    <d v="2025-03-08T00:00:00"/>
    <x v="1"/>
    <x v="0"/>
    <x v="2"/>
    <x v="0"/>
    <x v="23"/>
    <x v="3"/>
    <x v="9"/>
    <x v="1"/>
  </r>
  <r>
    <x v="1794"/>
    <x v="4"/>
    <x v="2"/>
    <n v="36"/>
    <n v="108"/>
    <x v="65"/>
    <d v="2025-03-08T00:00:00"/>
    <x v="1"/>
    <x v="1"/>
    <x v="0"/>
    <x v="0"/>
    <x v="6"/>
    <x v="3"/>
    <x v="9"/>
    <x v="1"/>
  </r>
  <r>
    <x v="1795"/>
    <x v="2"/>
    <x v="0"/>
    <n v="128.80000000000001"/>
    <n v="128.80000000000001"/>
    <x v="65"/>
    <d v="2025-03-08T00:00:00"/>
    <x v="1"/>
    <x v="4"/>
    <x v="2"/>
    <x v="0"/>
    <x v="6"/>
    <x v="3"/>
    <x v="9"/>
    <x v="1"/>
  </r>
  <r>
    <x v="1796"/>
    <x v="18"/>
    <x v="3"/>
    <n v="33.299999999999997"/>
    <n v="233.09999999999997"/>
    <x v="65"/>
    <d v="2025-03-08T00:00:00"/>
    <x v="2"/>
    <x v="3"/>
    <x v="0"/>
    <x v="0"/>
    <x v="8"/>
    <x v="3"/>
    <x v="9"/>
    <x v="2"/>
  </r>
  <r>
    <x v="1797"/>
    <x v="10"/>
    <x v="2"/>
    <n v="37.799999999999997"/>
    <n v="113.39999999999999"/>
    <x v="65"/>
    <d v="2025-03-09T00:00:00"/>
    <x v="1"/>
    <x v="1"/>
    <x v="2"/>
    <x v="0"/>
    <x v="8"/>
    <x v="1"/>
    <x v="9"/>
    <x v="1"/>
  </r>
  <r>
    <x v="1798"/>
    <x v="5"/>
    <x v="2"/>
    <n v="26"/>
    <n v="78"/>
    <x v="65"/>
    <d v="2025-03-12T00:00:00"/>
    <x v="2"/>
    <x v="0"/>
    <x v="0"/>
    <x v="0"/>
    <x v="8"/>
    <x v="0"/>
    <x v="9"/>
    <x v="2"/>
  </r>
  <r>
    <x v="1799"/>
    <x v="8"/>
    <x v="10"/>
    <n v="28.3"/>
    <n v="537.70000000000005"/>
    <x v="65"/>
    <d v="2025-03-08T00:00:00"/>
    <x v="2"/>
    <x v="3"/>
    <x v="4"/>
    <x v="0"/>
    <x v="8"/>
    <x v="3"/>
    <x v="9"/>
    <x v="2"/>
  </r>
  <r>
    <x v="1800"/>
    <x v="8"/>
    <x v="12"/>
    <n v="31.3"/>
    <n v="125.2"/>
    <x v="65"/>
    <d v="2025-03-07T00:00:00"/>
    <x v="2"/>
    <x v="0"/>
    <x v="0"/>
    <x v="0"/>
    <x v="8"/>
    <x v="7"/>
    <x v="9"/>
    <x v="2"/>
  </r>
  <r>
    <x v="1801"/>
    <x v="7"/>
    <x v="2"/>
    <n v="69.5"/>
    <n v="208.5"/>
    <x v="65"/>
    <d v="2025-03-08T00:00:00"/>
    <x v="2"/>
    <x v="3"/>
    <x v="2"/>
    <x v="0"/>
    <x v="8"/>
    <x v="3"/>
    <x v="9"/>
    <x v="2"/>
  </r>
  <r>
    <x v="1802"/>
    <x v="0"/>
    <x v="1"/>
    <n v="16.7"/>
    <n v="33.4"/>
    <x v="65"/>
    <d v="2025-03-08T00:00:00"/>
    <x v="2"/>
    <x v="3"/>
    <x v="1"/>
    <x v="0"/>
    <x v="8"/>
    <x v="3"/>
    <x v="9"/>
    <x v="2"/>
  </r>
  <r>
    <x v="1803"/>
    <x v="9"/>
    <x v="1"/>
    <n v="62.6"/>
    <n v="125.2"/>
    <x v="65"/>
    <d v="2025-03-08T00:00:00"/>
    <x v="1"/>
    <x v="2"/>
    <x v="2"/>
    <x v="0"/>
    <x v="9"/>
    <x v="3"/>
    <x v="9"/>
    <x v="1"/>
  </r>
  <r>
    <x v="1804"/>
    <x v="7"/>
    <x v="0"/>
    <n v="81.2"/>
    <n v="81.2"/>
    <x v="65"/>
    <d v="2025-03-13T00:00:00"/>
    <x v="1"/>
    <x v="4"/>
    <x v="4"/>
    <x v="0"/>
    <x v="9"/>
    <x v="4"/>
    <x v="9"/>
    <x v="1"/>
  </r>
  <r>
    <x v="1805"/>
    <x v="0"/>
    <x v="7"/>
    <n v="12.7"/>
    <n v="127"/>
    <x v="65"/>
    <d v="2025-03-08T00:00:00"/>
    <x v="2"/>
    <x v="0"/>
    <x v="2"/>
    <x v="0"/>
    <x v="9"/>
    <x v="3"/>
    <x v="9"/>
    <x v="2"/>
  </r>
  <r>
    <x v="1806"/>
    <x v="7"/>
    <x v="12"/>
    <n v="77.7"/>
    <n v="310.8"/>
    <x v="66"/>
    <d v="2025-03-12T00:00:00"/>
    <x v="1"/>
    <x v="1"/>
    <x v="0"/>
    <x v="0"/>
    <x v="11"/>
    <x v="5"/>
    <x v="9"/>
    <x v="1"/>
  </r>
  <r>
    <x v="1807"/>
    <x v="5"/>
    <x v="1"/>
    <n v="37.299999999999997"/>
    <n v="74.599999999999994"/>
    <x v="66"/>
    <d v="2025-03-09T00:00:00"/>
    <x v="2"/>
    <x v="0"/>
    <x v="2"/>
    <x v="0"/>
    <x v="18"/>
    <x v="3"/>
    <x v="9"/>
    <x v="2"/>
  </r>
  <r>
    <x v="1808"/>
    <x v="10"/>
    <x v="12"/>
    <n v="35.6"/>
    <n v="142.4"/>
    <x v="66"/>
    <d v="2025-03-10T00:00:00"/>
    <x v="2"/>
    <x v="1"/>
    <x v="1"/>
    <x v="0"/>
    <x v="19"/>
    <x v="1"/>
    <x v="9"/>
    <x v="2"/>
  </r>
  <r>
    <x v="1809"/>
    <x v="2"/>
    <x v="2"/>
    <n v="95"/>
    <n v="285"/>
    <x v="66"/>
    <d v="2025-03-12T00:00:00"/>
    <x v="2"/>
    <x v="2"/>
    <x v="2"/>
    <x v="0"/>
    <x v="56"/>
    <x v="5"/>
    <x v="9"/>
    <x v="2"/>
  </r>
  <r>
    <x v="1810"/>
    <x v="2"/>
    <x v="12"/>
    <n v="172.1"/>
    <n v="688.4"/>
    <x v="66"/>
    <d v="2025-03-12T00:00:00"/>
    <x v="3"/>
    <x v="2"/>
    <x v="2"/>
    <x v="0"/>
    <x v="21"/>
    <x v="5"/>
    <x v="9"/>
    <x v="3"/>
  </r>
  <r>
    <x v="1811"/>
    <x v="2"/>
    <x v="1"/>
    <n v="233"/>
    <n v="466"/>
    <x v="66"/>
    <d v="2025-03-11T00:00:00"/>
    <x v="2"/>
    <x v="1"/>
    <x v="0"/>
    <x v="0"/>
    <x v="21"/>
    <x v="2"/>
    <x v="9"/>
    <x v="2"/>
  </r>
  <r>
    <x v="1812"/>
    <x v="0"/>
    <x v="0"/>
    <n v="43.5"/>
    <n v="43.5"/>
    <x v="66"/>
    <d v="2025-03-09T00:00:00"/>
    <x v="2"/>
    <x v="2"/>
    <x v="2"/>
    <x v="0"/>
    <x v="21"/>
    <x v="3"/>
    <x v="9"/>
    <x v="2"/>
  </r>
  <r>
    <x v="1813"/>
    <x v="9"/>
    <x v="1"/>
    <n v="47.8"/>
    <n v="95.6"/>
    <x v="66"/>
    <d v="2025-03-11T00:00:00"/>
    <x v="1"/>
    <x v="4"/>
    <x v="2"/>
    <x v="0"/>
    <x v="1"/>
    <x v="2"/>
    <x v="9"/>
    <x v="1"/>
  </r>
  <r>
    <x v="1814"/>
    <x v="12"/>
    <x v="1"/>
    <n v="65.8"/>
    <n v="131.6"/>
    <x v="66"/>
    <d v="2025-03-10T00:00:00"/>
    <x v="2"/>
    <x v="0"/>
    <x v="3"/>
    <x v="0"/>
    <x v="33"/>
    <x v="1"/>
    <x v="9"/>
    <x v="2"/>
  </r>
  <r>
    <x v="1815"/>
    <x v="15"/>
    <x v="5"/>
    <n v="38.700000000000003"/>
    <n v="425.70000000000005"/>
    <x v="66"/>
    <d v="2025-03-08T00:00:00"/>
    <x v="1"/>
    <x v="0"/>
    <x v="0"/>
    <x v="0"/>
    <x v="22"/>
    <x v="7"/>
    <x v="9"/>
    <x v="1"/>
  </r>
  <r>
    <x v="1816"/>
    <x v="3"/>
    <x v="12"/>
    <n v="55.7"/>
    <n v="222.8"/>
    <x v="66"/>
    <d v="2025-03-10T00:00:00"/>
    <x v="3"/>
    <x v="0"/>
    <x v="1"/>
    <x v="0"/>
    <x v="22"/>
    <x v="1"/>
    <x v="9"/>
    <x v="3"/>
  </r>
  <r>
    <x v="1817"/>
    <x v="7"/>
    <x v="1"/>
    <n v="102.4"/>
    <n v="204.8"/>
    <x v="66"/>
    <d v="2025-03-08T00:00:00"/>
    <x v="2"/>
    <x v="1"/>
    <x v="0"/>
    <x v="0"/>
    <x v="3"/>
    <x v="7"/>
    <x v="9"/>
    <x v="2"/>
  </r>
  <r>
    <x v="1818"/>
    <x v="1"/>
    <x v="0"/>
    <n v="92"/>
    <n v="92"/>
    <x v="66"/>
    <d v="2025-03-12T00:00:00"/>
    <x v="0"/>
    <x v="2"/>
    <x v="0"/>
    <x v="0"/>
    <x v="3"/>
    <x v="5"/>
    <x v="9"/>
    <x v="0"/>
  </r>
  <r>
    <x v="1819"/>
    <x v="6"/>
    <x v="12"/>
    <n v="75.900000000000006"/>
    <n v="303.60000000000002"/>
    <x v="66"/>
    <d v="2025-03-10T00:00:00"/>
    <x v="2"/>
    <x v="1"/>
    <x v="0"/>
    <x v="0"/>
    <x v="3"/>
    <x v="1"/>
    <x v="9"/>
    <x v="2"/>
  </r>
  <r>
    <x v="1820"/>
    <x v="1"/>
    <x v="12"/>
    <n v="36.200000000000003"/>
    <n v="144.80000000000001"/>
    <x v="66"/>
    <d v="2025-03-09T00:00:00"/>
    <x v="2"/>
    <x v="1"/>
    <x v="0"/>
    <x v="0"/>
    <x v="3"/>
    <x v="3"/>
    <x v="9"/>
    <x v="2"/>
  </r>
  <r>
    <x v="1821"/>
    <x v="6"/>
    <x v="45"/>
    <n v="83.5"/>
    <n v="7264.5"/>
    <x v="66"/>
    <d v="2025-03-10T00:00:00"/>
    <x v="0"/>
    <x v="3"/>
    <x v="0"/>
    <x v="0"/>
    <x v="3"/>
    <x v="1"/>
    <x v="9"/>
    <x v="0"/>
  </r>
  <r>
    <x v="1822"/>
    <x v="19"/>
    <x v="4"/>
    <n v="52.4"/>
    <n v="628.79999999999995"/>
    <x v="66"/>
    <d v="2025-03-08T00:00:00"/>
    <x v="1"/>
    <x v="2"/>
    <x v="0"/>
    <x v="0"/>
    <x v="3"/>
    <x v="7"/>
    <x v="9"/>
    <x v="1"/>
  </r>
  <r>
    <x v="1823"/>
    <x v="12"/>
    <x v="2"/>
    <n v="69.5"/>
    <n v="208.5"/>
    <x v="66"/>
    <d v="2025-03-09T00:00:00"/>
    <x v="3"/>
    <x v="4"/>
    <x v="0"/>
    <x v="0"/>
    <x v="3"/>
    <x v="3"/>
    <x v="9"/>
    <x v="3"/>
  </r>
  <r>
    <x v="1824"/>
    <x v="0"/>
    <x v="0"/>
    <n v="15.5"/>
    <n v="15.5"/>
    <x v="66"/>
    <d v="2025-03-10T00:00:00"/>
    <x v="1"/>
    <x v="0"/>
    <x v="0"/>
    <x v="0"/>
    <x v="3"/>
    <x v="1"/>
    <x v="9"/>
    <x v="1"/>
  </r>
  <r>
    <x v="1825"/>
    <x v="4"/>
    <x v="12"/>
    <n v="35.200000000000003"/>
    <n v="140.80000000000001"/>
    <x v="66"/>
    <d v="2025-03-09T00:00:00"/>
    <x v="2"/>
    <x v="2"/>
    <x v="2"/>
    <x v="0"/>
    <x v="3"/>
    <x v="3"/>
    <x v="9"/>
    <x v="2"/>
  </r>
  <r>
    <x v="1826"/>
    <x v="8"/>
    <x v="13"/>
    <n v="34.6"/>
    <n v="207.60000000000002"/>
    <x v="66"/>
    <d v="2025-03-09T00:00:00"/>
    <x v="0"/>
    <x v="0"/>
    <x v="1"/>
    <x v="0"/>
    <x v="3"/>
    <x v="3"/>
    <x v="9"/>
    <x v="0"/>
  </r>
  <r>
    <x v="1827"/>
    <x v="4"/>
    <x v="0"/>
    <n v="21.3"/>
    <n v="21.3"/>
    <x v="67"/>
    <d v="2025-03-10T00:00:00"/>
    <x v="1"/>
    <x v="2"/>
    <x v="1"/>
    <x v="0"/>
    <x v="3"/>
    <x v="3"/>
    <x v="10"/>
    <x v="1"/>
  </r>
  <r>
    <x v="1828"/>
    <x v="6"/>
    <x v="1"/>
    <n v="136.5"/>
    <n v="273"/>
    <x v="67"/>
    <d v="2025-03-15T00:00:00"/>
    <x v="2"/>
    <x v="0"/>
    <x v="0"/>
    <x v="0"/>
    <x v="37"/>
    <x v="4"/>
    <x v="10"/>
    <x v="2"/>
  </r>
  <r>
    <x v="1829"/>
    <x v="9"/>
    <x v="3"/>
    <n v="30.7"/>
    <n v="214.9"/>
    <x v="67"/>
    <d v="2025-03-10T00:00:00"/>
    <x v="1"/>
    <x v="2"/>
    <x v="2"/>
    <x v="0"/>
    <x v="25"/>
    <x v="3"/>
    <x v="10"/>
    <x v="1"/>
  </r>
  <r>
    <x v="1830"/>
    <x v="1"/>
    <x v="1"/>
    <n v="61.6"/>
    <n v="123.2"/>
    <x v="67"/>
    <d v="2025-03-10T00:00:00"/>
    <x v="2"/>
    <x v="2"/>
    <x v="2"/>
    <x v="0"/>
    <x v="23"/>
    <x v="3"/>
    <x v="10"/>
    <x v="2"/>
  </r>
  <r>
    <x v="1831"/>
    <x v="6"/>
    <x v="12"/>
    <n v="54.3"/>
    <n v="217.2"/>
    <x v="67"/>
    <d v="2025-03-11T00:00:00"/>
    <x v="0"/>
    <x v="4"/>
    <x v="0"/>
    <x v="0"/>
    <x v="7"/>
    <x v="1"/>
    <x v="10"/>
    <x v="0"/>
  </r>
  <r>
    <x v="1832"/>
    <x v="1"/>
    <x v="1"/>
    <n v="44.1"/>
    <n v="88.2"/>
    <x v="67"/>
    <d v="2025-03-21T00:00:00"/>
    <x v="2"/>
    <x v="0"/>
    <x v="2"/>
    <x v="0"/>
    <x v="8"/>
    <x v="13"/>
    <x v="10"/>
    <x v="2"/>
  </r>
  <r>
    <x v="1833"/>
    <x v="8"/>
    <x v="12"/>
    <n v="43.5"/>
    <n v="174"/>
    <x v="67"/>
    <d v="2025-03-15T00:00:00"/>
    <x v="1"/>
    <x v="3"/>
    <x v="0"/>
    <x v="0"/>
    <x v="8"/>
    <x v="4"/>
    <x v="10"/>
    <x v="1"/>
  </r>
  <r>
    <x v="1834"/>
    <x v="8"/>
    <x v="2"/>
    <n v="48.2"/>
    <n v="144.60000000000002"/>
    <x v="67"/>
    <d v="2025-03-13T00:00:00"/>
    <x v="1"/>
    <x v="3"/>
    <x v="1"/>
    <x v="0"/>
    <x v="8"/>
    <x v="5"/>
    <x v="10"/>
    <x v="1"/>
  </r>
  <r>
    <x v="1835"/>
    <x v="19"/>
    <x v="0"/>
    <n v="13.7"/>
    <n v="13.7"/>
    <x v="67"/>
    <d v="2025-03-10T00:00:00"/>
    <x v="2"/>
    <x v="2"/>
    <x v="2"/>
    <x v="0"/>
    <x v="8"/>
    <x v="3"/>
    <x v="10"/>
    <x v="2"/>
  </r>
  <r>
    <x v="1836"/>
    <x v="2"/>
    <x v="1"/>
    <n v="110.5"/>
    <n v="221"/>
    <x v="67"/>
    <d v="2025-03-10T00:00:00"/>
    <x v="2"/>
    <x v="0"/>
    <x v="1"/>
    <x v="0"/>
    <x v="8"/>
    <x v="3"/>
    <x v="10"/>
    <x v="2"/>
  </r>
  <r>
    <x v="1837"/>
    <x v="8"/>
    <x v="2"/>
    <n v="26"/>
    <n v="78"/>
    <x v="67"/>
    <d v="2025-03-14T00:00:00"/>
    <x v="2"/>
    <x v="1"/>
    <x v="1"/>
    <x v="0"/>
    <x v="8"/>
    <x v="0"/>
    <x v="10"/>
    <x v="2"/>
  </r>
  <r>
    <x v="1838"/>
    <x v="2"/>
    <x v="7"/>
    <n v="140.69999999999999"/>
    <n v="1407"/>
    <x v="67"/>
    <d v="2025-03-15T00:00:00"/>
    <x v="1"/>
    <x v="3"/>
    <x v="1"/>
    <x v="0"/>
    <x v="8"/>
    <x v="4"/>
    <x v="10"/>
    <x v="1"/>
  </r>
  <r>
    <x v="1839"/>
    <x v="17"/>
    <x v="1"/>
    <n v="41.7"/>
    <n v="83.4"/>
    <x v="67"/>
    <d v="2025-03-17T00:00:00"/>
    <x v="2"/>
    <x v="0"/>
    <x v="4"/>
    <x v="0"/>
    <x v="8"/>
    <x v="9"/>
    <x v="10"/>
    <x v="2"/>
  </r>
  <r>
    <x v="1840"/>
    <x v="2"/>
    <x v="1"/>
    <n v="135.1"/>
    <n v="270.2"/>
    <x v="67"/>
    <d v="2025-03-10T00:00:00"/>
    <x v="1"/>
    <x v="0"/>
    <x v="2"/>
    <x v="0"/>
    <x v="17"/>
    <x v="3"/>
    <x v="10"/>
    <x v="1"/>
  </r>
  <r>
    <x v="1841"/>
    <x v="12"/>
    <x v="32"/>
    <n v="95.5"/>
    <n v="2101"/>
    <x v="67"/>
    <d v="2025-03-10T00:00:00"/>
    <x v="2"/>
    <x v="4"/>
    <x v="4"/>
    <x v="0"/>
    <x v="26"/>
    <x v="3"/>
    <x v="10"/>
    <x v="2"/>
  </r>
  <r>
    <x v="1842"/>
    <x v="15"/>
    <x v="0"/>
    <n v="25.5"/>
    <n v="25.5"/>
    <x v="67"/>
    <d v="2025-03-12T00:00:00"/>
    <x v="0"/>
    <x v="2"/>
    <x v="2"/>
    <x v="0"/>
    <x v="11"/>
    <x v="2"/>
    <x v="10"/>
    <x v="0"/>
  </r>
  <r>
    <x v="1843"/>
    <x v="1"/>
    <x v="0"/>
    <n v="42.6"/>
    <n v="42.6"/>
    <x v="67"/>
    <d v="2025-03-13T00:00:00"/>
    <x v="2"/>
    <x v="0"/>
    <x v="0"/>
    <x v="0"/>
    <x v="11"/>
    <x v="5"/>
    <x v="10"/>
    <x v="2"/>
  </r>
  <r>
    <x v="1844"/>
    <x v="8"/>
    <x v="20"/>
    <n v="32.4"/>
    <n v="486"/>
    <x v="67"/>
    <d v="2025-03-10T00:00:00"/>
    <x v="1"/>
    <x v="1"/>
    <x v="1"/>
    <x v="0"/>
    <x v="11"/>
    <x v="3"/>
    <x v="10"/>
    <x v="1"/>
  </r>
  <r>
    <x v="1845"/>
    <x v="4"/>
    <x v="12"/>
    <n v="20.2"/>
    <n v="80.8"/>
    <x v="67"/>
    <d v="2025-03-10T00:00:00"/>
    <x v="3"/>
    <x v="2"/>
    <x v="0"/>
    <x v="0"/>
    <x v="11"/>
    <x v="3"/>
    <x v="10"/>
    <x v="3"/>
  </r>
  <r>
    <x v="1846"/>
    <x v="16"/>
    <x v="2"/>
    <n v="52.5"/>
    <n v="157.5"/>
    <x v="67"/>
    <d v="2025-03-14T00:00:00"/>
    <x v="2"/>
    <x v="4"/>
    <x v="0"/>
    <x v="0"/>
    <x v="18"/>
    <x v="0"/>
    <x v="10"/>
    <x v="2"/>
  </r>
  <r>
    <x v="1847"/>
    <x v="2"/>
    <x v="9"/>
    <n v="59.9"/>
    <n v="299.5"/>
    <x v="67"/>
    <d v="2025-03-11T00:00:00"/>
    <x v="2"/>
    <x v="2"/>
    <x v="0"/>
    <x v="0"/>
    <x v="19"/>
    <x v="1"/>
    <x v="10"/>
    <x v="2"/>
  </r>
  <r>
    <x v="1848"/>
    <x v="4"/>
    <x v="1"/>
    <n v="53.2"/>
    <n v="106.4"/>
    <x v="67"/>
    <d v="2025-03-10T00:00:00"/>
    <x v="2"/>
    <x v="1"/>
    <x v="3"/>
    <x v="0"/>
    <x v="20"/>
    <x v="3"/>
    <x v="10"/>
    <x v="2"/>
  </r>
  <r>
    <x v="1849"/>
    <x v="2"/>
    <x v="1"/>
    <n v="60"/>
    <n v="120"/>
    <x v="67"/>
    <d v="2025-03-15T00:00:00"/>
    <x v="1"/>
    <x v="1"/>
    <x v="2"/>
    <x v="0"/>
    <x v="20"/>
    <x v="4"/>
    <x v="10"/>
    <x v="1"/>
  </r>
  <r>
    <x v="1850"/>
    <x v="8"/>
    <x v="2"/>
    <n v="29.3"/>
    <n v="87.9"/>
    <x v="67"/>
    <d v="2025-03-10T00:00:00"/>
    <x v="2"/>
    <x v="4"/>
    <x v="0"/>
    <x v="0"/>
    <x v="13"/>
    <x v="3"/>
    <x v="10"/>
    <x v="2"/>
  </r>
  <r>
    <x v="1851"/>
    <x v="12"/>
    <x v="1"/>
    <n v="55.4"/>
    <n v="110.8"/>
    <x v="67"/>
    <d v="2025-03-10T00:00:00"/>
    <x v="2"/>
    <x v="0"/>
    <x v="2"/>
    <x v="0"/>
    <x v="21"/>
    <x v="3"/>
    <x v="10"/>
    <x v="2"/>
  </r>
  <r>
    <x v="1852"/>
    <x v="0"/>
    <x v="9"/>
    <n v="20.100000000000001"/>
    <n v="100.5"/>
    <x v="67"/>
    <d v="2025-03-11T00:00:00"/>
    <x v="2"/>
    <x v="1"/>
    <x v="2"/>
    <x v="0"/>
    <x v="21"/>
    <x v="1"/>
    <x v="10"/>
    <x v="2"/>
  </r>
  <r>
    <x v="1853"/>
    <x v="14"/>
    <x v="9"/>
    <n v="24"/>
    <n v="120"/>
    <x v="67"/>
    <d v="2025-03-12T00:00:00"/>
    <x v="1"/>
    <x v="2"/>
    <x v="0"/>
    <x v="0"/>
    <x v="1"/>
    <x v="2"/>
    <x v="10"/>
    <x v="1"/>
  </r>
  <r>
    <x v="1854"/>
    <x v="8"/>
    <x v="1"/>
    <n v="30.6"/>
    <n v="61.2"/>
    <x v="68"/>
    <d v="2025-03-12T00:00:00"/>
    <x v="2"/>
    <x v="0"/>
    <x v="0"/>
    <x v="0"/>
    <x v="1"/>
    <x v="1"/>
    <x v="10"/>
    <x v="2"/>
  </r>
  <r>
    <x v="1855"/>
    <x v="10"/>
    <x v="9"/>
    <n v="33"/>
    <n v="165"/>
    <x v="68"/>
    <d v="2025-03-11T00:00:00"/>
    <x v="1"/>
    <x v="1"/>
    <x v="1"/>
    <x v="0"/>
    <x v="27"/>
    <x v="3"/>
    <x v="10"/>
    <x v="1"/>
  </r>
  <r>
    <x v="1856"/>
    <x v="17"/>
    <x v="11"/>
    <n v="42.1"/>
    <n v="378.90000000000003"/>
    <x v="68"/>
    <d v="2025-03-16T00:00:00"/>
    <x v="2"/>
    <x v="2"/>
    <x v="0"/>
    <x v="0"/>
    <x v="44"/>
    <x v="4"/>
    <x v="10"/>
    <x v="2"/>
  </r>
  <r>
    <x v="1857"/>
    <x v="6"/>
    <x v="3"/>
    <n v="77.7"/>
    <n v="543.9"/>
    <x v="68"/>
    <d v="2025-03-15T00:00:00"/>
    <x v="2"/>
    <x v="1"/>
    <x v="2"/>
    <x v="0"/>
    <x v="50"/>
    <x v="0"/>
    <x v="10"/>
    <x v="2"/>
  </r>
  <r>
    <x v="1858"/>
    <x v="17"/>
    <x v="13"/>
    <n v="22.7"/>
    <n v="136.19999999999999"/>
    <x v="68"/>
    <d v="2025-03-13T00:00:00"/>
    <x v="2"/>
    <x v="2"/>
    <x v="0"/>
    <x v="0"/>
    <x v="3"/>
    <x v="2"/>
    <x v="10"/>
    <x v="2"/>
  </r>
  <r>
    <x v="1859"/>
    <x v="2"/>
    <x v="1"/>
    <n v="133"/>
    <n v="266"/>
    <x v="68"/>
    <d v="2025-03-10T00:00:00"/>
    <x v="1"/>
    <x v="2"/>
    <x v="2"/>
    <x v="0"/>
    <x v="3"/>
    <x v="7"/>
    <x v="10"/>
    <x v="1"/>
  </r>
  <r>
    <x v="1860"/>
    <x v="0"/>
    <x v="1"/>
    <n v="23.3"/>
    <n v="46.6"/>
    <x v="68"/>
    <d v="2025-03-11T00:00:00"/>
    <x v="1"/>
    <x v="1"/>
    <x v="2"/>
    <x v="0"/>
    <x v="3"/>
    <x v="3"/>
    <x v="10"/>
    <x v="1"/>
  </r>
  <r>
    <x v="1861"/>
    <x v="8"/>
    <x v="2"/>
    <n v="20.7"/>
    <n v="62.099999999999994"/>
    <x v="68"/>
    <d v="2025-03-12T00:00:00"/>
    <x v="3"/>
    <x v="0"/>
    <x v="2"/>
    <x v="0"/>
    <x v="3"/>
    <x v="1"/>
    <x v="10"/>
    <x v="3"/>
  </r>
  <r>
    <x v="1862"/>
    <x v="12"/>
    <x v="1"/>
    <n v="47"/>
    <n v="94"/>
    <x v="68"/>
    <d v="2025-03-11T00:00:00"/>
    <x v="1"/>
    <x v="1"/>
    <x v="2"/>
    <x v="0"/>
    <x v="3"/>
    <x v="3"/>
    <x v="10"/>
    <x v="1"/>
  </r>
  <r>
    <x v="1863"/>
    <x v="12"/>
    <x v="2"/>
    <n v="38.200000000000003"/>
    <n v="114.60000000000001"/>
    <x v="68"/>
    <d v="2025-03-12T00:00:00"/>
    <x v="2"/>
    <x v="2"/>
    <x v="4"/>
    <x v="0"/>
    <x v="3"/>
    <x v="1"/>
    <x v="10"/>
    <x v="2"/>
  </r>
  <r>
    <x v="1864"/>
    <x v="9"/>
    <x v="0"/>
    <n v="39.1"/>
    <n v="39.1"/>
    <x v="68"/>
    <d v="2025-03-12T00:00:00"/>
    <x v="2"/>
    <x v="0"/>
    <x v="0"/>
    <x v="0"/>
    <x v="3"/>
    <x v="1"/>
    <x v="10"/>
    <x v="2"/>
  </r>
  <r>
    <x v="1865"/>
    <x v="7"/>
    <x v="30"/>
    <n v="55.6"/>
    <n v="1390"/>
    <x v="68"/>
    <d v="2025-03-12T00:00:00"/>
    <x v="1"/>
    <x v="0"/>
    <x v="2"/>
    <x v="0"/>
    <x v="3"/>
    <x v="1"/>
    <x v="10"/>
    <x v="1"/>
  </r>
  <r>
    <x v="1866"/>
    <x v="15"/>
    <x v="0"/>
    <n v="43.1"/>
    <n v="43.1"/>
    <x v="68"/>
    <d v="2025-03-10T00:00:00"/>
    <x v="3"/>
    <x v="1"/>
    <x v="2"/>
    <x v="0"/>
    <x v="3"/>
    <x v="7"/>
    <x v="10"/>
    <x v="3"/>
  </r>
  <r>
    <x v="1867"/>
    <x v="6"/>
    <x v="12"/>
    <n v="48.1"/>
    <n v="192.4"/>
    <x v="68"/>
    <d v="2025-03-11T00:00:00"/>
    <x v="2"/>
    <x v="4"/>
    <x v="2"/>
    <x v="0"/>
    <x v="3"/>
    <x v="3"/>
    <x v="10"/>
    <x v="2"/>
  </r>
  <r>
    <x v="1868"/>
    <x v="4"/>
    <x v="0"/>
    <n v="42"/>
    <n v="42"/>
    <x v="68"/>
    <d v="2025-03-11T00:00:00"/>
    <x v="3"/>
    <x v="0"/>
    <x v="0"/>
    <x v="0"/>
    <x v="3"/>
    <x v="3"/>
    <x v="10"/>
    <x v="3"/>
  </r>
  <r>
    <x v="1869"/>
    <x v="8"/>
    <x v="9"/>
    <n v="18.3"/>
    <n v="91.5"/>
    <x v="68"/>
    <d v="2025-03-10T00:00:00"/>
    <x v="2"/>
    <x v="2"/>
    <x v="0"/>
    <x v="0"/>
    <x v="3"/>
    <x v="7"/>
    <x v="10"/>
    <x v="2"/>
  </r>
  <r>
    <x v="1870"/>
    <x v="10"/>
    <x v="12"/>
    <n v="45.3"/>
    <n v="181.2"/>
    <x v="68"/>
    <d v="2025-03-13T00:00:00"/>
    <x v="2"/>
    <x v="0"/>
    <x v="2"/>
    <x v="0"/>
    <x v="3"/>
    <x v="2"/>
    <x v="10"/>
    <x v="2"/>
  </r>
  <r>
    <x v="1871"/>
    <x v="0"/>
    <x v="1"/>
    <n v="27.6"/>
    <n v="55.2"/>
    <x v="68"/>
    <d v="2025-03-12T00:00:00"/>
    <x v="1"/>
    <x v="0"/>
    <x v="2"/>
    <x v="0"/>
    <x v="37"/>
    <x v="1"/>
    <x v="10"/>
    <x v="1"/>
  </r>
  <r>
    <x v="1872"/>
    <x v="4"/>
    <x v="9"/>
    <n v="26.9"/>
    <n v="134.5"/>
    <x v="68"/>
    <d v="2025-03-11T00:00:00"/>
    <x v="2"/>
    <x v="2"/>
    <x v="0"/>
    <x v="0"/>
    <x v="25"/>
    <x v="3"/>
    <x v="10"/>
    <x v="2"/>
  </r>
  <r>
    <x v="1873"/>
    <x v="2"/>
    <x v="11"/>
    <n v="82.4"/>
    <n v="741.6"/>
    <x v="68"/>
    <d v="2025-03-12T00:00:00"/>
    <x v="3"/>
    <x v="2"/>
    <x v="0"/>
    <x v="0"/>
    <x v="5"/>
    <x v="1"/>
    <x v="10"/>
    <x v="3"/>
  </r>
  <r>
    <x v="1874"/>
    <x v="6"/>
    <x v="0"/>
    <n v="103.7"/>
    <n v="103.7"/>
    <x v="68"/>
    <d v="2025-03-12T00:00:00"/>
    <x v="2"/>
    <x v="1"/>
    <x v="0"/>
    <x v="0"/>
    <x v="5"/>
    <x v="1"/>
    <x v="10"/>
    <x v="2"/>
  </r>
  <r>
    <x v="1875"/>
    <x v="2"/>
    <x v="1"/>
    <n v="58.8"/>
    <n v="117.6"/>
    <x v="68"/>
    <d v="2025-03-15T00:00:00"/>
    <x v="2"/>
    <x v="1"/>
    <x v="2"/>
    <x v="0"/>
    <x v="6"/>
    <x v="0"/>
    <x v="10"/>
    <x v="2"/>
  </r>
  <r>
    <x v="1876"/>
    <x v="13"/>
    <x v="0"/>
    <n v="31.5"/>
    <n v="31.5"/>
    <x v="68"/>
    <d v="2025-03-11T00:00:00"/>
    <x v="2"/>
    <x v="1"/>
    <x v="1"/>
    <x v="0"/>
    <x v="6"/>
    <x v="3"/>
    <x v="10"/>
    <x v="2"/>
  </r>
  <r>
    <x v="1877"/>
    <x v="7"/>
    <x v="9"/>
    <n v="36.799999999999997"/>
    <n v="184"/>
    <x v="68"/>
    <d v="2025-03-12T00:00:00"/>
    <x v="2"/>
    <x v="0"/>
    <x v="0"/>
    <x v="0"/>
    <x v="8"/>
    <x v="1"/>
    <x v="10"/>
    <x v="2"/>
  </r>
  <r>
    <x v="1878"/>
    <x v="3"/>
    <x v="0"/>
    <n v="84.4"/>
    <n v="84.4"/>
    <x v="68"/>
    <d v="2025-03-11T00:00:00"/>
    <x v="2"/>
    <x v="0"/>
    <x v="0"/>
    <x v="0"/>
    <x v="8"/>
    <x v="3"/>
    <x v="10"/>
    <x v="2"/>
  </r>
  <r>
    <x v="1879"/>
    <x v="14"/>
    <x v="0"/>
    <n v="44.7"/>
    <n v="44.7"/>
    <x v="68"/>
    <d v="2025-03-11T00:00:00"/>
    <x v="1"/>
    <x v="0"/>
    <x v="1"/>
    <x v="0"/>
    <x v="8"/>
    <x v="3"/>
    <x v="10"/>
    <x v="1"/>
  </r>
  <r>
    <x v="1880"/>
    <x v="9"/>
    <x v="8"/>
    <n v="39.4"/>
    <n v="315.2"/>
    <x v="68"/>
    <d v="2025-03-11T00:00:00"/>
    <x v="2"/>
    <x v="1"/>
    <x v="2"/>
    <x v="0"/>
    <x v="8"/>
    <x v="3"/>
    <x v="10"/>
    <x v="2"/>
  </r>
  <r>
    <x v="1881"/>
    <x v="11"/>
    <x v="12"/>
    <n v="34.9"/>
    <n v="139.6"/>
    <x v="68"/>
    <d v="2025-03-12T00:00:00"/>
    <x v="2"/>
    <x v="0"/>
    <x v="2"/>
    <x v="0"/>
    <x v="8"/>
    <x v="1"/>
    <x v="10"/>
    <x v="2"/>
  </r>
  <r>
    <x v="1882"/>
    <x v="1"/>
    <x v="2"/>
    <n v="62.3"/>
    <n v="186.89999999999998"/>
    <x v="68"/>
    <d v="2025-03-12T00:00:00"/>
    <x v="1"/>
    <x v="4"/>
    <x v="2"/>
    <x v="0"/>
    <x v="8"/>
    <x v="1"/>
    <x v="10"/>
    <x v="1"/>
  </r>
  <r>
    <x v="1883"/>
    <x v="8"/>
    <x v="12"/>
    <n v="21.1"/>
    <n v="84.4"/>
    <x v="68"/>
    <d v="2025-03-13T00:00:00"/>
    <x v="1"/>
    <x v="3"/>
    <x v="0"/>
    <x v="0"/>
    <x v="8"/>
    <x v="2"/>
    <x v="10"/>
    <x v="1"/>
  </r>
  <r>
    <x v="1884"/>
    <x v="8"/>
    <x v="2"/>
    <n v="33.200000000000003"/>
    <n v="99.600000000000009"/>
    <x v="68"/>
    <d v="2025-03-24T00:00:00"/>
    <x v="0"/>
    <x v="0"/>
    <x v="4"/>
    <x v="0"/>
    <x v="8"/>
    <x v="12"/>
    <x v="10"/>
    <x v="0"/>
  </r>
  <r>
    <x v="1885"/>
    <x v="1"/>
    <x v="12"/>
    <n v="74.5"/>
    <n v="298"/>
    <x v="68"/>
    <d v="2025-03-11T00:00:00"/>
    <x v="1"/>
    <x v="4"/>
    <x v="0"/>
    <x v="0"/>
    <x v="8"/>
    <x v="3"/>
    <x v="10"/>
    <x v="1"/>
  </r>
  <r>
    <x v="1886"/>
    <x v="10"/>
    <x v="4"/>
    <n v="68.599999999999994"/>
    <n v="823.19999999999993"/>
    <x v="68"/>
    <d v="2025-03-13T00:00:00"/>
    <x v="2"/>
    <x v="0"/>
    <x v="2"/>
    <x v="0"/>
    <x v="8"/>
    <x v="2"/>
    <x v="10"/>
    <x v="2"/>
  </r>
  <r>
    <x v="1887"/>
    <x v="5"/>
    <x v="21"/>
    <n v="36.4"/>
    <n v="509.59999999999997"/>
    <x v="68"/>
    <d v="2025-03-12T00:00:00"/>
    <x v="2"/>
    <x v="0"/>
    <x v="1"/>
    <x v="0"/>
    <x v="9"/>
    <x v="1"/>
    <x v="10"/>
    <x v="2"/>
  </r>
  <r>
    <x v="1888"/>
    <x v="16"/>
    <x v="9"/>
    <n v="67.599999999999994"/>
    <n v="338"/>
    <x v="69"/>
    <d v="2025-03-14T00:00:00"/>
    <x v="2"/>
    <x v="4"/>
    <x v="1"/>
    <x v="0"/>
    <x v="9"/>
    <x v="2"/>
    <x v="10"/>
    <x v="2"/>
  </r>
  <r>
    <x v="1889"/>
    <x v="15"/>
    <x v="0"/>
    <n v="46.3"/>
    <n v="46.3"/>
    <x v="69"/>
    <d v="2025-03-12T00:00:00"/>
    <x v="1"/>
    <x v="2"/>
    <x v="0"/>
    <x v="0"/>
    <x v="9"/>
    <x v="3"/>
    <x v="10"/>
    <x v="1"/>
  </r>
  <r>
    <x v="1890"/>
    <x v="1"/>
    <x v="2"/>
    <n v="124.2"/>
    <n v="372.6"/>
    <x v="69"/>
    <d v="2025-03-13T00:00:00"/>
    <x v="2"/>
    <x v="1"/>
    <x v="2"/>
    <x v="0"/>
    <x v="11"/>
    <x v="1"/>
    <x v="10"/>
    <x v="2"/>
  </r>
  <r>
    <x v="1891"/>
    <x v="10"/>
    <x v="1"/>
    <n v="37"/>
    <n v="74"/>
    <x v="69"/>
    <d v="2025-03-17T00:00:00"/>
    <x v="1"/>
    <x v="0"/>
    <x v="0"/>
    <x v="0"/>
    <x v="11"/>
    <x v="4"/>
    <x v="10"/>
    <x v="1"/>
  </r>
  <r>
    <x v="1892"/>
    <x v="5"/>
    <x v="0"/>
    <n v="41.8"/>
    <n v="41.8"/>
    <x v="69"/>
    <d v="2025-03-12T00:00:00"/>
    <x v="1"/>
    <x v="2"/>
    <x v="0"/>
    <x v="0"/>
    <x v="31"/>
    <x v="3"/>
    <x v="10"/>
    <x v="1"/>
  </r>
  <r>
    <x v="1893"/>
    <x v="9"/>
    <x v="1"/>
    <n v="57.2"/>
    <n v="114.4"/>
    <x v="69"/>
    <d v="2025-03-13T00:00:00"/>
    <x v="1"/>
    <x v="2"/>
    <x v="1"/>
    <x v="0"/>
    <x v="20"/>
    <x v="1"/>
    <x v="10"/>
    <x v="1"/>
  </r>
  <r>
    <x v="1894"/>
    <x v="6"/>
    <x v="1"/>
    <n v="47.1"/>
    <n v="94.2"/>
    <x v="69"/>
    <d v="2025-03-13T00:00:00"/>
    <x v="2"/>
    <x v="0"/>
    <x v="4"/>
    <x v="0"/>
    <x v="20"/>
    <x v="1"/>
    <x v="10"/>
    <x v="2"/>
  </r>
  <r>
    <x v="1895"/>
    <x v="5"/>
    <x v="2"/>
    <n v="86.4"/>
    <n v="259.20000000000005"/>
    <x v="69"/>
    <d v="2025-03-12T00:00:00"/>
    <x v="1"/>
    <x v="2"/>
    <x v="1"/>
    <x v="0"/>
    <x v="52"/>
    <x v="3"/>
    <x v="10"/>
    <x v="1"/>
  </r>
  <r>
    <x v="1896"/>
    <x v="6"/>
    <x v="9"/>
    <n v="105"/>
    <n v="525"/>
    <x v="69"/>
    <d v="2025-03-14T00:00:00"/>
    <x v="1"/>
    <x v="0"/>
    <x v="0"/>
    <x v="0"/>
    <x v="13"/>
    <x v="2"/>
    <x v="10"/>
    <x v="1"/>
  </r>
  <r>
    <x v="1897"/>
    <x v="18"/>
    <x v="0"/>
    <n v="33"/>
    <n v="33"/>
    <x v="69"/>
    <d v="2025-03-14T00:00:00"/>
    <x v="1"/>
    <x v="4"/>
    <x v="0"/>
    <x v="0"/>
    <x v="21"/>
    <x v="2"/>
    <x v="10"/>
    <x v="1"/>
  </r>
  <r>
    <x v="1898"/>
    <x v="6"/>
    <x v="9"/>
    <n v="106.6"/>
    <n v="533"/>
    <x v="69"/>
    <d v="2025-03-24T00:00:00"/>
    <x v="2"/>
    <x v="2"/>
    <x v="0"/>
    <x v="0"/>
    <x v="1"/>
    <x v="10"/>
    <x v="10"/>
    <x v="2"/>
  </r>
  <r>
    <x v="1899"/>
    <x v="10"/>
    <x v="46"/>
    <n v="26.8"/>
    <n v="857.6"/>
    <x v="69"/>
    <d v="2025-03-12T00:00:00"/>
    <x v="2"/>
    <x v="2"/>
    <x v="0"/>
    <x v="0"/>
    <x v="1"/>
    <x v="3"/>
    <x v="10"/>
    <x v="2"/>
  </r>
  <r>
    <x v="1900"/>
    <x v="17"/>
    <x v="9"/>
    <n v="25.8"/>
    <n v="129"/>
    <x v="69"/>
    <d v="2025-03-11T00:00:00"/>
    <x v="2"/>
    <x v="1"/>
    <x v="2"/>
    <x v="0"/>
    <x v="3"/>
    <x v="7"/>
    <x v="10"/>
    <x v="2"/>
  </r>
  <r>
    <x v="1901"/>
    <x v="2"/>
    <x v="2"/>
    <n v="217"/>
    <n v="651"/>
    <x v="69"/>
    <d v="2025-03-12T00:00:00"/>
    <x v="2"/>
    <x v="1"/>
    <x v="1"/>
    <x v="0"/>
    <x v="3"/>
    <x v="3"/>
    <x v="10"/>
    <x v="2"/>
  </r>
  <r>
    <x v="1902"/>
    <x v="2"/>
    <x v="1"/>
    <n v="97.3"/>
    <n v="194.6"/>
    <x v="69"/>
    <d v="2025-03-12T00:00:00"/>
    <x v="1"/>
    <x v="2"/>
    <x v="4"/>
    <x v="0"/>
    <x v="3"/>
    <x v="3"/>
    <x v="10"/>
    <x v="1"/>
  </r>
  <r>
    <x v="1903"/>
    <x v="1"/>
    <x v="0"/>
    <n v="49.8"/>
    <n v="49.8"/>
    <x v="69"/>
    <d v="2025-03-12T00:00:00"/>
    <x v="2"/>
    <x v="0"/>
    <x v="0"/>
    <x v="0"/>
    <x v="3"/>
    <x v="3"/>
    <x v="10"/>
    <x v="2"/>
  </r>
  <r>
    <x v="1904"/>
    <x v="12"/>
    <x v="9"/>
    <n v="32.6"/>
    <n v="163"/>
    <x v="69"/>
    <d v="2025-03-12T00:00:00"/>
    <x v="2"/>
    <x v="0"/>
    <x v="0"/>
    <x v="0"/>
    <x v="3"/>
    <x v="3"/>
    <x v="10"/>
    <x v="2"/>
  </r>
  <r>
    <x v="1905"/>
    <x v="9"/>
    <x v="1"/>
    <n v="40.1"/>
    <n v="80.2"/>
    <x v="69"/>
    <d v="2025-03-14T00:00:00"/>
    <x v="1"/>
    <x v="1"/>
    <x v="2"/>
    <x v="0"/>
    <x v="3"/>
    <x v="2"/>
    <x v="10"/>
    <x v="1"/>
  </r>
  <r>
    <x v="1906"/>
    <x v="10"/>
    <x v="1"/>
    <n v="49.4"/>
    <n v="98.8"/>
    <x v="69"/>
    <d v="2025-03-13T00:00:00"/>
    <x v="1"/>
    <x v="1"/>
    <x v="0"/>
    <x v="0"/>
    <x v="3"/>
    <x v="1"/>
    <x v="10"/>
    <x v="1"/>
  </r>
  <r>
    <x v="1907"/>
    <x v="2"/>
    <x v="0"/>
    <n v="67.3"/>
    <n v="67.3"/>
    <x v="69"/>
    <d v="2025-03-12T00:00:00"/>
    <x v="2"/>
    <x v="0"/>
    <x v="2"/>
    <x v="0"/>
    <x v="3"/>
    <x v="3"/>
    <x v="10"/>
    <x v="2"/>
  </r>
  <r>
    <x v="1908"/>
    <x v="18"/>
    <x v="12"/>
    <n v="44.5"/>
    <n v="178"/>
    <x v="69"/>
    <d v="2025-03-14T00:00:00"/>
    <x v="0"/>
    <x v="1"/>
    <x v="0"/>
    <x v="0"/>
    <x v="3"/>
    <x v="2"/>
    <x v="10"/>
    <x v="0"/>
  </r>
  <r>
    <x v="1909"/>
    <x v="6"/>
    <x v="5"/>
    <n v="111.1"/>
    <n v="1222.0999999999999"/>
    <x v="69"/>
    <d v="2025-03-12T00:00:00"/>
    <x v="2"/>
    <x v="4"/>
    <x v="0"/>
    <x v="0"/>
    <x v="3"/>
    <x v="3"/>
    <x v="10"/>
    <x v="2"/>
  </r>
  <r>
    <x v="1910"/>
    <x v="8"/>
    <x v="2"/>
    <n v="19.7"/>
    <n v="59.099999999999994"/>
    <x v="69"/>
    <d v="2025-03-12T00:00:00"/>
    <x v="2"/>
    <x v="4"/>
    <x v="4"/>
    <x v="0"/>
    <x v="3"/>
    <x v="3"/>
    <x v="10"/>
    <x v="2"/>
  </r>
  <r>
    <x v="1911"/>
    <x v="1"/>
    <x v="0"/>
    <n v="40.299999999999997"/>
    <n v="40.299999999999997"/>
    <x v="69"/>
    <d v="2025-03-12T00:00:00"/>
    <x v="3"/>
    <x v="1"/>
    <x v="0"/>
    <x v="0"/>
    <x v="3"/>
    <x v="3"/>
    <x v="10"/>
    <x v="3"/>
  </r>
  <r>
    <x v="1912"/>
    <x v="6"/>
    <x v="1"/>
    <n v="108.8"/>
    <n v="217.6"/>
    <x v="69"/>
    <d v="2025-03-16T00:00:00"/>
    <x v="1"/>
    <x v="0"/>
    <x v="2"/>
    <x v="0"/>
    <x v="6"/>
    <x v="0"/>
    <x v="10"/>
    <x v="1"/>
  </r>
  <r>
    <x v="1913"/>
    <x v="8"/>
    <x v="2"/>
    <n v="48.2"/>
    <n v="144.60000000000002"/>
    <x v="69"/>
    <d v="2025-03-16T00:00:00"/>
    <x v="2"/>
    <x v="4"/>
    <x v="0"/>
    <x v="0"/>
    <x v="7"/>
    <x v="0"/>
    <x v="10"/>
    <x v="2"/>
  </r>
  <r>
    <x v="1914"/>
    <x v="2"/>
    <x v="2"/>
    <n v="104.7"/>
    <n v="314.10000000000002"/>
    <x v="69"/>
    <d v="2025-03-13T00:00:00"/>
    <x v="2"/>
    <x v="0"/>
    <x v="1"/>
    <x v="0"/>
    <x v="7"/>
    <x v="1"/>
    <x v="10"/>
    <x v="2"/>
  </r>
  <r>
    <x v="1915"/>
    <x v="1"/>
    <x v="1"/>
    <n v="80.599999999999994"/>
    <n v="161.19999999999999"/>
    <x v="69"/>
    <d v="2025-03-11T00:00:00"/>
    <x v="2"/>
    <x v="1"/>
    <x v="0"/>
    <x v="0"/>
    <x v="8"/>
    <x v="7"/>
    <x v="10"/>
    <x v="2"/>
  </r>
  <r>
    <x v="1916"/>
    <x v="6"/>
    <x v="0"/>
    <n v="65.5"/>
    <n v="65.5"/>
    <x v="69"/>
    <d v="2025-03-13T00:00:00"/>
    <x v="3"/>
    <x v="1"/>
    <x v="0"/>
    <x v="0"/>
    <x v="8"/>
    <x v="1"/>
    <x v="10"/>
    <x v="3"/>
  </r>
  <r>
    <x v="1917"/>
    <x v="9"/>
    <x v="2"/>
    <n v="61.4"/>
    <n v="184.2"/>
    <x v="69"/>
    <d v="2025-03-13T00:00:00"/>
    <x v="2"/>
    <x v="4"/>
    <x v="2"/>
    <x v="0"/>
    <x v="8"/>
    <x v="1"/>
    <x v="10"/>
    <x v="2"/>
  </r>
  <r>
    <x v="1918"/>
    <x v="0"/>
    <x v="0"/>
    <n v="12.5"/>
    <n v="12.5"/>
    <x v="70"/>
    <d v="2025-03-15T00:00:00"/>
    <x v="2"/>
    <x v="0"/>
    <x v="1"/>
    <x v="0"/>
    <x v="8"/>
    <x v="2"/>
    <x v="10"/>
    <x v="2"/>
  </r>
  <r>
    <x v="1919"/>
    <x v="4"/>
    <x v="12"/>
    <n v="35.1"/>
    <n v="140.4"/>
    <x v="70"/>
    <d v="2025-03-13T00:00:00"/>
    <x v="1"/>
    <x v="2"/>
    <x v="1"/>
    <x v="0"/>
    <x v="17"/>
    <x v="3"/>
    <x v="10"/>
    <x v="1"/>
  </r>
  <r>
    <x v="1920"/>
    <x v="5"/>
    <x v="1"/>
    <n v="55.7"/>
    <n v="111.4"/>
    <x v="70"/>
    <d v="2025-03-13T00:00:00"/>
    <x v="1"/>
    <x v="0"/>
    <x v="1"/>
    <x v="0"/>
    <x v="26"/>
    <x v="3"/>
    <x v="10"/>
    <x v="1"/>
  </r>
  <r>
    <x v="1921"/>
    <x v="7"/>
    <x v="1"/>
    <n v="57.7"/>
    <n v="115.4"/>
    <x v="70"/>
    <d v="2025-03-14T00:00:00"/>
    <x v="1"/>
    <x v="4"/>
    <x v="1"/>
    <x v="0"/>
    <x v="9"/>
    <x v="1"/>
    <x v="10"/>
    <x v="1"/>
  </r>
  <r>
    <x v="1922"/>
    <x v="2"/>
    <x v="13"/>
    <n v="85.7"/>
    <n v="514.20000000000005"/>
    <x v="70"/>
    <d v="2025-03-13T00:00:00"/>
    <x v="1"/>
    <x v="3"/>
    <x v="2"/>
    <x v="0"/>
    <x v="9"/>
    <x v="3"/>
    <x v="10"/>
    <x v="1"/>
  </r>
  <r>
    <x v="1923"/>
    <x v="2"/>
    <x v="2"/>
    <n v="86.9"/>
    <n v="260.70000000000005"/>
    <x v="70"/>
    <d v="2025-03-14T00:00:00"/>
    <x v="2"/>
    <x v="1"/>
    <x v="0"/>
    <x v="0"/>
    <x v="11"/>
    <x v="1"/>
    <x v="10"/>
    <x v="2"/>
  </r>
  <r>
    <x v="1924"/>
    <x v="18"/>
    <x v="1"/>
    <n v="46.4"/>
    <n v="92.8"/>
    <x v="70"/>
    <d v="2025-03-15T00:00:00"/>
    <x v="2"/>
    <x v="4"/>
    <x v="0"/>
    <x v="0"/>
    <x v="11"/>
    <x v="2"/>
    <x v="10"/>
    <x v="2"/>
  </r>
  <r>
    <x v="1925"/>
    <x v="5"/>
    <x v="2"/>
    <n v="25.4"/>
    <n v="76.199999999999989"/>
    <x v="70"/>
    <d v="2025-03-12T00:00:00"/>
    <x v="2"/>
    <x v="2"/>
    <x v="2"/>
    <x v="0"/>
    <x v="18"/>
    <x v="7"/>
    <x v="10"/>
    <x v="2"/>
  </r>
  <r>
    <x v="1926"/>
    <x v="10"/>
    <x v="2"/>
    <n v="47.8"/>
    <n v="143.39999999999998"/>
    <x v="70"/>
    <d v="2025-03-12T00:00:00"/>
    <x v="0"/>
    <x v="2"/>
    <x v="2"/>
    <x v="0"/>
    <x v="19"/>
    <x v="7"/>
    <x v="10"/>
    <x v="0"/>
  </r>
  <r>
    <x v="1927"/>
    <x v="8"/>
    <x v="10"/>
    <n v="18.399999999999999"/>
    <n v="349.59999999999997"/>
    <x v="70"/>
    <d v="2025-03-14T00:00:00"/>
    <x v="3"/>
    <x v="2"/>
    <x v="0"/>
    <x v="0"/>
    <x v="20"/>
    <x v="1"/>
    <x v="10"/>
    <x v="3"/>
  </r>
  <r>
    <x v="1928"/>
    <x v="12"/>
    <x v="2"/>
    <n v="65.5"/>
    <n v="196.5"/>
    <x v="70"/>
    <d v="2025-03-20T00:00:00"/>
    <x v="2"/>
    <x v="0"/>
    <x v="0"/>
    <x v="0"/>
    <x v="21"/>
    <x v="9"/>
    <x v="10"/>
    <x v="2"/>
  </r>
  <r>
    <x v="1929"/>
    <x v="10"/>
    <x v="1"/>
    <n v="50.6"/>
    <n v="101.2"/>
    <x v="70"/>
    <d v="2025-03-15T00:00:00"/>
    <x v="1"/>
    <x v="2"/>
    <x v="4"/>
    <x v="0"/>
    <x v="21"/>
    <x v="2"/>
    <x v="10"/>
    <x v="1"/>
  </r>
  <r>
    <x v="1930"/>
    <x v="3"/>
    <x v="9"/>
    <n v="69"/>
    <n v="345"/>
    <x v="70"/>
    <d v="2025-03-16T00:00:00"/>
    <x v="1"/>
    <x v="3"/>
    <x v="0"/>
    <x v="0"/>
    <x v="21"/>
    <x v="5"/>
    <x v="10"/>
    <x v="1"/>
  </r>
  <r>
    <x v="1931"/>
    <x v="9"/>
    <x v="8"/>
    <n v="51.1"/>
    <n v="408.8"/>
    <x v="70"/>
    <d v="2025-03-14T00:00:00"/>
    <x v="2"/>
    <x v="0"/>
    <x v="0"/>
    <x v="0"/>
    <x v="1"/>
    <x v="1"/>
    <x v="10"/>
    <x v="2"/>
  </r>
  <r>
    <x v="1932"/>
    <x v="9"/>
    <x v="0"/>
    <n v="36.1"/>
    <n v="36.1"/>
    <x v="70"/>
    <d v="2025-03-13T00:00:00"/>
    <x v="2"/>
    <x v="0"/>
    <x v="2"/>
    <x v="0"/>
    <x v="34"/>
    <x v="3"/>
    <x v="10"/>
    <x v="2"/>
  </r>
  <r>
    <x v="1933"/>
    <x v="14"/>
    <x v="0"/>
    <n v="18.7"/>
    <n v="18.7"/>
    <x v="70"/>
    <d v="2025-03-13T00:00:00"/>
    <x v="1"/>
    <x v="0"/>
    <x v="0"/>
    <x v="0"/>
    <x v="3"/>
    <x v="3"/>
    <x v="10"/>
    <x v="1"/>
  </r>
  <r>
    <x v="1934"/>
    <x v="17"/>
    <x v="0"/>
    <n v="30.1"/>
    <n v="30.1"/>
    <x v="70"/>
    <d v="2025-03-15T00:00:00"/>
    <x v="2"/>
    <x v="3"/>
    <x v="1"/>
    <x v="0"/>
    <x v="3"/>
    <x v="2"/>
    <x v="10"/>
    <x v="2"/>
  </r>
  <r>
    <x v="1935"/>
    <x v="8"/>
    <x v="0"/>
    <n v="16.3"/>
    <n v="16.3"/>
    <x v="70"/>
    <d v="2025-03-13T00:00:00"/>
    <x v="1"/>
    <x v="3"/>
    <x v="0"/>
    <x v="0"/>
    <x v="3"/>
    <x v="3"/>
    <x v="10"/>
    <x v="1"/>
  </r>
  <r>
    <x v="1936"/>
    <x v="1"/>
    <x v="2"/>
    <n v="63.8"/>
    <n v="191.39999999999998"/>
    <x v="70"/>
    <d v="2025-03-17T00:00:00"/>
    <x v="2"/>
    <x v="2"/>
    <x v="1"/>
    <x v="0"/>
    <x v="3"/>
    <x v="0"/>
    <x v="10"/>
    <x v="2"/>
  </r>
  <r>
    <x v="1937"/>
    <x v="1"/>
    <x v="3"/>
    <n v="73.900000000000006"/>
    <n v="517.30000000000007"/>
    <x v="70"/>
    <d v="2025-03-12T00:00:00"/>
    <x v="2"/>
    <x v="0"/>
    <x v="1"/>
    <x v="0"/>
    <x v="3"/>
    <x v="7"/>
    <x v="10"/>
    <x v="2"/>
  </r>
  <r>
    <x v="1938"/>
    <x v="0"/>
    <x v="1"/>
    <n v="20.2"/>
    <n v="40.4"/>
    <x v="70"/>
    <d v="2025-03-13T00:00:00"/>
    <x v="1"/>
    <x v="0"/>
    <x v="1"/>
    <x v="0"/>
    <x v="3"/>
    <x v="3"/>
    <x v="10"/>
    <x v="1"/>
  </r>
  <r>
    <x v="1939"/>
    <x v="11"/>
    <x v="5"/>
    <n v="29.5"/>
    <n v="324.5"/>
    <x v="70"/>
    <d v="2025-03-13T00:00:00"/>
    <x v="1"/>
    <x v="0"/>
    <x v="0"/>
    <x v="0"/>
    <x v="3"/>
    <x v="3"/>
    <x v="10"/>
    <x v="1"/>
  </r>
  <r>
    <x v="1940"/>
    <x v="15"/>
    <x v="3"/>
    <n v="37.9"/>
    <n v="265.3"/>
    <x v="70"/>
    <d v="2025-03-13T00:00:00"/>
    <x v="1"/>
    <x v="1"/>
    <x v="0"/>
    <x v="0"/>
    <x v="3"/>
    <x v="3"/>
    <x v="10"/>
    <x v="1"/>
  </r>
  <r>
    <x v="1941"/>
    <x v="2"/>
    <x v="0"/>
    <n v="56.5"/>
    <n v="56.5"/>
    <x v="70"/>
    <d v="2025-03-13T00:00:00"/>
    <x v="2"/>
    <x v="2"/>
    <x v="1"/>
    <x v="0"/>
    <x v="3"/>
    <x v="3"/>
    <x v="10"/>
    <x v="2"/>
  </r>
  <r>
    <x v="1942"/>
    <x v="2"/>
    <x v="1"/>
    <n v="66.900000000000006"/>
    <n v="133.80000000000001"/>
    <x v="70"/>
    <d v="2025-03-18T00:00:00"/>
    <x v="1"/>
    <x v="1"/>
    <x v="4"/>
    <x v="0"/>
    <x v="25"/>
    <x v="4"/>
    <x v="10"/>
    <x v="1"/>
  </r>
  <r>
    <x v="1943"/>
    <x v="2"/>
    <x v="9"/>
    <n v="51.9"/>
    <n v="259.5"/>
    <x v="70"/>
    <d v="2025-03-15T00:00:00"/>
    <x v="1"/>
    <x v="1"/>
    <x v="0"/>
    <x v="0"/>
    <x v="7"/>
    <x v="2"/>
    <x v="10"/>
    <x v="1"/>
  </r>
  <r>
    <x v="1944"/>
    <x v="2"/>
    <x v="1"/>
    <n v="75.599999999999994"/>
    <n v="151.19999999999999"/>
    <x v="70"/>
    <d v="2025-03-15T00:00:00"/>
    <x v="1"/>
    <x v="1"/>
    <x v="0"/>
    <x v="0"/>
    <x v="8"/>
    <x v="2"/>
    <x v="10"/>
    <x v="1"/>
  </r>
  <r>
    <x v="1945"/>
    <x v="12"/>
    <x v="13"/>
    <n v="47.3"/>
    <n v="283.79999999999995"/>
    <x v="70"/>
    <d v="2025-03-23T00:00:00"/>
    <x v="1"/>
    <x v="0"/>
    <x v="0"/>
    <x v="0"/>
    <x v="8"/>
    <x v="11"/>
    <x v="10"/>
    <x v="1"/>
  </r>
  <r>
    <x v="1946"/>
    <x v="4"/>
    <x v="0"/>
    <n v="20.6"/>
    <n v="20.6"/>
    <x v="70"/>
    <d v="2025-03-13T00:00:00"/>
    <x v="0"/>
    <x v="0"/>
    <x v="1"/>
    <x v="0"/>
    <x v="8"/>
    <x v="3"/>
    <x v="10"/>
    <x v="0"/>
  </r>
  <r>
    <x v="1947"/>
    <x v="6"/>
    <x v="2"/>
    <n v="49.7"/>
    <n v="149.10000000000002"/>
    <x v="70"/>
    <d v="2025-03-14T00:00:00"/>
    <x v="1"/>
    <x v="0"/>
    <x v="1"/>
    <x v="0"/>
    <x v="8"/>
    <x v="1"/>
    <x v="10"/>
    <x v="1"/>
  </r>
  <r>
    <x v="1948"/>
    <x v="3"/>
    <x v="0"/>
    <n v="37.9"/>
    <n v="37.9"/>
    <x v="70"/>
    <d v="2025-03-14T00:00:00"/>
    <x v="2"/>
    <x v="0"/>
    <x v="0"/>
    <x v="0"/>
    <x v="8"/>
    <x v="1"/>
    <x v="10"/>
    <x v="2"/>
  </r>
  <r>
    <x v="1949"/>
    <x v="13"/>
    <x v="20"/>
    <n v="32"/>
    <n v="480"/>
    <x v="70"/>
    <d v="2025-03-14T00:00:00"/>
    <x v="2"/>
    <x v="4"/>
    <x v="0"/>
    <x v="0"/>
    <x v="11"/>
    <x v="1"/>
    <x v="10"/>
    <x v="2"/>
  </r>
  <r>
    <x v="1950"/>
    <x v="10"/>
    <x v="16"/>
    <n v="38.5"/>
    <n v="693"/>
    <x v="71"/>
    <d v="2025-03-14T00:00:00"/>
    <x v="1"/>
    <x v="0"/>
    <x v="2"/>
    <x v="0"/>
    <x v="11"/>
    <x v="3"/>
    <x v="10"/>
    <x v="1"/>
  </r>
  <r>
    <x v="1951"/>
    <x v="0"/>
    <x v="12"/>
    <n v="11.7"/>
    <n v="46.8"/>
    <x v="71"/>
    <d v="2025-03-15T00:00:00"/>
    <x v="2"/>
    <x v="1"/>
    <x v="0"/>
    <x v="0"/>
    <x v="20"/>
    <x v="1"/>
    <x v="10"/>
    <x v="2"/>
  </r>
  <r>
    <x v="1952"/>
    <x v="3"/>
    <x v="13"/>
    <n v="83.8"/>
    <n v="502.79999999999995"/>
    <x v="71"/>
    <d v="2025-03-14T00:00:00"/>
    <x v="1"/>
    <x v="0"/>
    <x v="0"/>
    <x v="0"/>
    <x v="21"/>
    <x v="3"/>
    <x v="10"/>
    <x v="1"/>
  </r>
  <r>
    <x v="1953"/>
    <x v="0"/>
    <x v="3"/>
    <n v="14"/>
    <n v="98"/>
    <x v="71"/>
    <d v="2025-03-16T00:00:00"/>
    <x v="1"/>
    <x v="0"/>
    <x v="1"/>
    <x v="0"/>
    <x v="22"/>
    <x v="2"/>
    <x v="10"/>
    <x v="1"/>
  </r>
  <r>
    <x v="1954"/>
    <x v="16"/>
    <x v="12"/>
    <n v="77.3"/>
    <n v="309.2"/>
    <x v="71"/>
    <d v="2025-03-15T00:00:00"/>
    <x v="2"/>
    <x v="4"/>
    <x v="2"/>
    <x v="0"/>
    <x v="3"/>
    <x v="1"/>
    <x v="10"/>
    <x v="2"/>
  </r>
  <r>
    <x v="1955"/>
    <x v="2"/>
    <x v="1"/>
    <n v="76.900000000000006"/>
    <n v="153.80000000000001"/>
    <x v="71"/>
    <d v="2025-03-17T00:00:00"/>
    <x v="2"/>
    <x v="0"/>
    <x v="1"/>
    <x v="0"/>
    <x v="3"/>
    <x v="5"/>
    <x v="10"/>
    <x v="2"/>
  </r>
  <r>
    <x v="1956"/>
    <x v="1"/>
    <x v="0"/>
    <n v="48"/>
    <n v="48"/>
    <x v="71"/>
    <d v="2025-03-15T00:00:00"/>
    <x v="2"/>
    <x v="1"/>
    <x v="2"/>
    <x v="0"/>
    <x v="3"/>
    <x v="1"/>
    <x v="10"/>
    <x v="2"/>
  </r>
  <r>
    <x v="1957"/>
    <x v="2"/>
    <x v="0"/>
    <n v="94.5"/>
    <n v="94.5"/>
    <x v="71"/>
    <d v="2025-03-16T00:00:00"/>
    <x v="1"/>
    <x v="1"/>
    <x v="1"/>
    <x v="0"/>
    <x v="3"/>
    <x v="2"/>
    <x v="10"/>
    <x v="1"/>
  </r>
  <r>
    <x v="1958"/>
    <x v="10"/>
    <x v="2"/>
    <n v="58.4"/>
    <n v="175.2"/>
    <x v="71"/>
    <d v="2025-03-15T00:00:00"/>
    <x v="2"/>
    <x v="1"/>
    <x v="2"/>
    <x v="0"/>
    <x v="3"/>
    <x v="1"/>
    <x v="10"/>
    <x v="2"/>
  </r>
  <r>
    <x v="1959"/>
    <x v="7"/>
    <x v="15"/>
    <n v="42.2"/>
    <n v="548.6"/>
    <x v="71"/>
    <d v="2025-03-13T00:00:00"/>
    <x v="1"/>
    <x v="0"/>
    <x v="0"/>
    <x v="0"/>
    <x v="25"/>
    <x v="7"/>
    <x v="10"/>
    <x v="1"/>
  </r>
  <r>
    <x v="1960"/>
    <x v="6"/>
    <x v="1"/>
    <n v="152.19999999999999"/>
    <n v="304.39999999999998"/>
    <x v="71"/>
    <d v="2025-03-14T00:00:00"/>
    <x v="1"/>
    <x v="4"/>
    <x v="1"/>
    <x v="0"/>
    <x v="25"/>
    <x v="3"/>
    <x v="10"/>
    <x v="1"/>
  </r>
  <r>
    <x v="1961"/>
    <x v="6"/>
    <x v="25"/>
    <n v="72"/>
    <n v="1728"/>
    <x v="71"/>
    <d v="2025-03-14T00:00:00"/>
    <x v="1"/>
    <x v="0"/>
    <x v="1"/>
    <x v="0"/>
    <x v="6"/>
    <x v="3"/>
    <x v="10"/>
    <x v="1"/>
  </r>
  <r>
    <x v="1962"/>
    <x v="1"/>
    <x v="44"/>
    <n v="70.900000000000006"/>
    <n v="1630.7"/>
    <x v="71"/>
    <d v="2025-03-14T00:00:00"/>
    <x v="2"/>
    <x v="2"/>
    <x v="0"/>
    <x v="0"/>
    <x v="8"/>
    <x v="3"/>
    <x v="10"/>
    <x v="2"/>
  </r>
  <r>
    <x v="1963"/>
    <x v="2"/>
    <x v="1"/>
    <n v="53.7"/>
    <n v="107.4"/>
    <x v="71"/>
    <d v="2025-03-14T00:00:00"/>
    <x v="1"/>
    <x v="2"/>
    <x v="2"/>
    <x v="0"/>
    <x v="8"/>
    <x v="3"/>
    <x v="10"/>
    <x v="1"/>
  </r>
  <r>
    <x v="1964"/>
    <x v="9"/>
    <x v="12"/>
    <n v="42.9"/>
    <n v="171.6"/>
    <x v="71"/>
    <d v="2025-03-14T00:00:00"/>
    <x v="2"/>
    <x v="2"/>
    <x v="4"/>
    <x v="0"/>
    <x v="9"/>
    <x v="3"/>
    <x v="10"/>
    <x v="2"/>
  </r>
  <r>
    <x v="1965"/>
    <x v="2"/>
    <x v="3"/>
    <n v="107.5"/>
    <n v="752.5"/>
    <x v="71"/>
    <d v="2025-03-14T00:00:00"/>
    <x v="1"/>
    <x v="1"/>
    <x v="0"/>
    <x v="0"/>
    <x v="11"/>
    <x v="3"/>
    <x v="10"/>
    <x v="1"/>
  </r>
  <r>
    <x v="1966"/>
    <x v="17"/>
    <x v="27"/>
    <n v="21.5"/>
    <n v="344"/>
    <x v="71"/>
    <d v="2025-03-14T00:00:00"/>
    <x v="1"/>
    <x v="1"/>
    <x v="1"/>
    <x v="0"/>
    <x v="32"/>
    <x v="3"/>
    <x v="10"/>
    <x v="1"/>
  </r>
  <r>
    <x v="1967"/>
    <x v="3"/>
    <x v="9"/>
    <n v="85.3"/>
    <n v="426.5"/>
    <x v="71"/>
    <d v="2025-03-15T00:00:00"/>
    <x v="2"/>
    <x v="3"/>
    <x v="0"/>
    <x v="0"/>
    <x v="18"/>
    <x v="1"/>
    <x v="10"/>
    <x v="2"/>
  </r>
  <r>
    <x v="1968"/>
    <x v="7"/>
    <x v="9"/>
    <n v="80.8"/>
    <n v="404"/>
    <x v="71"/>
    <d v="2025-03-21T00:00:00"/>
    <x v="3"/>
    <x v="1"/>
    <x v="1"/>
    <x v="0"/>
    <x v="19"/>
    <x v="9"/>
    <x v="10"/>
    <x v="3"/>
  </r>
  <r>
    <x v="1969"/>
    <x v="2"/>
    <x v="2"/>
    <n v="123.1"/>
    <n v="369.29999999999995"/>
    <x v="71"/>
    <d v="2025-03-15T00:00:00"/>
    <x v="0"/>
    <x v="2"/>
    <x v="0"/>
    <x v="0"/>
    <x v="21"/>
    <x v="1"/>
    <x v="10"/>
    <x v="0"/>
  </r>
  <r>
    <x v="1970"/>
    <x v="8"/>
    <x v="1"/>
    <n v="36.9"/>
    <n v="73.8"/>
    <x v="71"/>
    <d v="2025-03-15T00:00:00"/>
    <x v="2"/>
    <x v="2"/>
    <x v="4"/>
    <x v="0"/>
    <x v="51"/>
    <x v="1"/>
    <x v="10"/>
    <x v="2"/>
  </r>
  <r>
    <x v="1971"/>
    <x v="11"/>
    <x v="9"/>
    <n v="40"/>
    <n v="200"/>
    <x v="71"/>
    <d v="2025-03-14T00:00:00"/>
    <x v="1"/>
    <x v="0"/>
    <x v="0"/>
    <x v="0"/>
    <x v="1"/>
    <x v="3"/>
    <x v="10"/>
    <x v="1"/>
  </r>
  <r>
    <x v="1972"/>
    <x v="6"/>
    <x v="2"/>
    <n v="55.5"/>
    <n v="166.5"/>
    <x v="71"/>
    <d v="2025-03-14T00:00:00"/>
    <x v="1"/>
    <x v="4"/>
    <x v="2"/>
    <x v="0"/>
    <x v="1"/>
    <x v="3"/>
    <x v="10"/>
    <x v="1"/>
  </r>
  <r>
    <x v="1973"/>
    <x v="0"/>
    <x v="12"/>
    <n v="20.5"/>
    <n v="82"/>
    <x v="71"/>
    <d v="2025-03-17T00:00:00"/>
    <x v="2"/>
    <x v="4"/>
    <x v="0"/>
    <x v="0"/>
    <x v="1"/>
    <x v="5"/>
    <x v="10"/>
    <x v="2"/>
  </r>
  <r>
    <x v="1974"/>
    <x v="18"/>
    <x v="12"/>
    <n v="50.1"/>
    <n v="200.4"/>
    <x v="71"/>
    <d v="2025-03-14T00:00:00"/>
    <x v="2"/>
    <x v="4"/>
    <x v="0"/>
    <x v="0"/>
    <x v="1"/>
    <x v="3"/>
    <x v="10"/>
    <x v="2"/>
  </r>
  <r>
    <x v="1975"/>
    <x v="9"/>
    <x v="0"/>
    <n v="35.9"/>
    <n v="35.9"/>
    <x v="71"/>
    <d v="2025-03-15T00:00:00"/>
    <x v="1"/>
    <x v="1"/>
    <x v="2"/>
    <x v="0"/>
    <x v="1"/>
    <x v="1"/>
    <x v="10"/>
    <x v="1"/>
  </r>
  <r>
    <x v="1976"/>
    <x v="13"/>
    <x v="12"/>
    <n v="29.4"/>
    <n v="117.6"/>
    <x v="72"/>
    <d v="2025-03-15T00:00:00"/>
    <x v="1"/>
    <x v="2"/>
    <x v="2"/>
    <x v="0"/>
    <x v="33"/>
    <x v="3"/>
    <x v="10"/>
    <x v="1"/>
  </r>
  <r>
    <x v="1977"/>
    <x v="8"/>
    <x v="9"/>
    <n v="29.1"/>
    <n v="145.5"/>
    <x v="72"/>
    <d v="2025-03-22T00:00:00"/>
    <x v="3"/>
    <x v="2"/>
    <x v="1"/>
    <x v="0"/>
    <x v="33"/>
    <x v="9"/>
    <x v="10"/>
    <x v="3"/>
  </r>
  <r>
    <x v="1978"/>
    <x v="8"/>
    <x v="2"/>
    <n v="33.5"/>
    <n v="100.5"/>
    <x v="72"/>
    <d v="2025-03-26T00:00:00"/>
    <x v="1"/>
    <x v="0"/>
    <x v="2"/>
    <x v="0"/>
    <x v="22"/>
    <x v="13"/>
    <x v="10"/>
    <x v="1"/>
  </r>
  <r>
    <x v="1979"/>
    <x v="4"/>
    <x v="7"/>
    <n v="36"/>
    <n v="360"/>
    <x v="72"/>
    <d v="2025-03-14T00:00:00"/>
    <x v="1"/>
    <x v="3"/>
    <x v="2"/>
    <x v="0"/>
    <x v="3"/>
    <x v="7"/>
    <x v="10"/>
    <x v="1"/>
  </r>
  <r>
    <x v="1980"/>
    <x v="16"/>
    <x v="2"/>
    <n v="57.3"/>
    <n v="171.89999999999998"/>
    <x v="72"/>
    <d v="2025-03-18T00:00:00"/>
    <x v="2"/>
    <x v="0"/>
    <x v="2"/>
    <x v="0"/>
    <x v="3"/>
    <x v="5"/>
    <x v="10"/>
    <x v="2"/>
  </r>
  <r>
    <x v="1981"/>
    <x v="1"/>
    <x v="0"/>
    <n v="81.400000000000006"/>
    <n v="81.400000000000006"/>
    <x v="72"/>
    <d v="2025-03-15T00:00:00"/>
    <x v="2"/>
    <x v="2"/>
    <x v="2"/>
    <x v="0"/>
    <x v="3"/>
    <x v="3"/>
    <x v="10"/>
    <x v="2"/>
  </r>
  <r>
    <x v="1982"/>
    <x v="10"/>
    <x v="1"/>
    <n v="35.299999999999997"/>
    <n v="70.599999999999994"/>
    <x v="72"/>
    <d v="2025-03-18T00:00:00"/>
    <x v="1"/>
    <x v="0"/>
    <x v="2"/>
    <x v="0"/>
    <x v="3"/>
    <x v="5"/>
    <x v="10"/>
    <x v="1"/>
  </r>
  <r>
    <x v="1983"/>
    <x v="3"/>
    <x v="0"/>
    <n v="36.1"/>
    <n v="36.1"/>
    <x v="72"/>
    <d v="2025-03-15T00:00:00"/>
    <x v="2"/>
    <x v="4"/>
    <x v="0"/>
    <x v="0"/>
    <x v="3"/>
    <x v="3"/>
    <x v="10"/>
    <x v="2"/>
  </r>
  <r>
    <x v="1984"/>
    <x v="1"/>
    <x v="1"/>
    <n v="36.700000000000003"/>
    <n v="73.400000000000006"/>
    <x v="72"/>
    <d v="2025-03-16T00:00:00"/>
    <x v="2"/>
    <x v="0"/>
    <x v="2"/>
    <x v="0"/>
    <x v="3"/>
    <x v="1"/>
    <x v="10"/>
    <x v="2"/>
  </r>
  <r>
    <x v="1985"/>
    <x v="10"/>
    <x v="0"/>
    <n v="20.9"/>
    <n v="20.9"/>
    <x v="72"/>
    <d v="2025-03-16T00:00:00"/>
    <x v="2"/>
    <x v="0"/>
    <x v="4"/>
    <x v="0"/>
    <x v="3"/>
    <x v="1"/>
    <x v="10"/>
    <x v="2"/>
  </r>
  <r>
    <x v="1986"/>
    <x v="12"/>
    <x v="2"/>
    <n v="58.8"/>
    <n v="176.39999999999998"/>
    <x v="72"/>
    <d v="2025-03-18T00:00:00"/>
    <x v="1"/>
    <x v="0"/>
    <x v="2"/>
    <x v="0"/>
    <x v="25"/>
    <x v="5"/>
    <x v="10"/>
    <x v="1"/>
  </r>
  <r>
    <x v="1987"/>
    <x v="2"/>
    <x v="2"/>
    <n v="97.6"/>
    <n v="292.79999999999995"/>
    <x v="73"/>
    <d v="2025-03-17T00:00:00"/>
    <x v="0"/>
    <x v="0"/>
    <x v="0"/>
    <x v="0"/>
    <x v="6"/>
    <x v="1"/>
    <x v="10"/>
    <x v="0"/>
  </r>
  <r>
    <x v="1988"/>
    <x v="1"/>
    <x v="1"/>
    <n v="58.7"/>
    <n v="117.4"/>
    <x v="73"/>
    <d v="2025-03-18T00:00:00"/>
    <x v="2"/>
    <x v="0"/>
    <x v="1"/>
    <x v="0"/>
    <x v="6"/>
    <x v="2"/>
    <x v="10"/>
    <x v="2"/>
  </r>
  <r>
    <x v="1989"/>
    <x v="6"/>
    <x v="9"/>
    <n v="71.900000000000006"/>
    <n v="359.5"/>
    <x v="73"/>
    <d v="2025-03-16T00:00:00"/>
    <x v="0"/>
    <x v="0"/>
    <x v="1"/>
    <x v="0"/>
    <x v="6"/>
    <x v="3"/>
    <x v="10"/>
    <x v="0"/>
  </r>
  <r>
    <x v="1990"/>
    <x v="1"/>
    <x v="1"/>
    <n v="62.4"/>
    <n v="124.8"/>
    <x v="73"/>
    <d v="2025-03-17T00:00:00"/>
    <x v="0"/>
    <x v="0"/>
    <x v="1"/>
    <x v="0"/>
    <x v="8"/>
    <x v="1"/>
    <x v="10"/>
    <x v="0"/>
  </r>
  <r>
    <x v="1991"/>
    <x v="6"/>
    <x v="27"/>
    <n v="53.8"/>
    <n v="860.8"/>
    <x v="73"/>
    <d v="2025-03-16T00:00:00"/>
    <x v="2"/>
    <x v="1"/>
    <x v="0"/>
    <x v="0"/>
    <x v="8"/>
    <x v="3"/>
    <x v="10"/>
    <x v="2"/>
  </r>
  <r>
    <x v="1992"/>
    <x v="9"/>
    <x v="0"/>
    <n v="43.8"/>
    <n v="43.8"/>
    <x v="73"/>
    <d v="2025-03-22T00:00:00"/>
    <x v="2"/>
    <x v="0"/>
    <x v="2"/>
    <x v="0"/>
    <x v="8"/>
    <x v="6"/>
    <x v="10"/>
    <x v="2"/>
  </r>
  <r>
    <x v="1993"/>
    <x v="5"/>
    <x v="2"/>
    <n v="53.6"/>
    <n v="160.80000000000001"/>
    <x v="73"/>
    <d v="2025-03-16T00:00:00"/>
    <x v="1"/>
    <x v="3"/>
    <x v="0"/>
    <x v="0"/>
    <x v="8"/>
    <x v="3"/>
    <x v="10"/>
    <x v="1"/>
  </r>
  <r>
    <x v="1994"/>
    <x v="12"/>
    <x v="1"/>
    <n v="84.3"/>
    <n v="168.6"/>
    <x v="73"/>
    <d v="2025-03-18T00:00:00"/>
    <x v="1"/>
    <x v="4"/>
    <x v="1"/>
    <x v="0"/>
    <x v="8"/>
    <x v="2"/>
    <x v="10"/>
    <x v="1"/>
  </r>
  <r>
    <x v="1995"/>
    <x v="6"/>
    <x v="11"/>
    <n v="117.9"/>
    <n v="1061.1000000000001"/>
    <x v="73"/>
    <d v="2025-03-16T00:00:00"/>
    <x v="2"/>
    <x v="1"/>
    <x v="2"/>
    <x v="0"/>
    <x v="8"/>
    <x v="3"/>
    <x v="10"/>
    <x v="2"/>
  </r>
  <r>
    <x v="1996"/>
    <x v="4"/>
    <x v="8"/>
    <n v="30"/>
    <n v="240"/>
    <x v="73"/>
    <d v="2025-03-16T00:00:00"/>
    <x v="2"/>
    <x v="1"/>
    <x v="0"/>
    <x v="0"/>
    <x v="26"/>
    <x v="3"/>
    <x v="10"/>
    <x v="2"/>
  </r>
  <r>
    <x v="1997"/>
    <x v="14"/>
    <x v="2"/>
    <n v="37.299999999999997"/>
    <n v="111.89999999999999"/>
    <x v="73"/>
    <d v="2025-03-16T00:00:00"/>
    <x v="1"/>
    <x v="2"/>
    <x v="0"/>
    <x v="0"/>
    <x v="9"/>
    <x v="3"/>
    <x v="10"/>
    <x v="1"/>
  </r>
  <r>
    <x v="1998"/>
    <x v="4"/>
    <x v="11"/>
    <n v="25.1"/>
    <n v="225.9"/>
    <x v="73"/>
    <d v="2025-03-17T00:00:00"/>
    <x v="1"/>
    <x v="1"/>
    <x v="2"/>
    <x v="0"/>
    <x v="11"/>
    <x v="1"/>
    <x v="10"/>
    <x v="1"/>
  </r>
  <r>
    <x v="1999"/>
    <x v="8"/>
    <x v="5"/>
    <n v="36"/>
    <n v="396"/>
    <x v="73"/>
    <d v="2025-03-25T00:00:00"/>
    <x v="1"/>
    <x v="1"/>
    <x v="0"/>
    <x v="0"/>
    <x v="18"/>
    <x v="14"/>
    <x v="10"/>
    <x v="1"/>
  </r>
  <r>
    <x v="2000"/>
    <x v="16"/>
    <x v="2"/>
    <n v="48.5"/>
    <n v="145.5"/>
    <x v="73"/>
    <d v="2025-03-19T00:00:00"/>
    <x v="2"/>
    <x v="1"/>
    <x v="0"/>
    <x v="0"/>
    <x v="19"/>
    <x v="5"/>
    <x v="10"/>
    <x v="2"/>
  </r>
  <r>
    <x v="2001"/>
    <x v="17"/>
    <x v="13"/>
    <n v="21.1"/>
    <n v="126.60000000000001"/>
    <x v="73"/>
    <d v="2025-03-16T00:00:00"/>
    <x v="1"/>
    <x v="1"/>
    <x v="2"/>
    <x v="0"/>
    <x v="21"/>
    <x v="3"/>
    <x v="10"/>
    <x v="1"/>
  </r>
  <r>
    <x v="2002"/>
    <x v="15"/>
    <x v="21"/>
    <n v="43.2"/>
    <n v="604.80000000000007"/>
    <x v="73"/>
    <d v="2025-03-16T00:00:00"/>
    <x v="3"/>
    <x v="0"/>
    <x v="1"/>
    <x v="0"/>
    <x v="21"/>
    <x v="3"/>
    <x v="10"/>
    <x v="3"/>
  </r>
  <r>
    <x v="2003"/>
    <x v="9"/>
    <x v="1"/>
    <n v="21.1"/>
    <n v="42.2"/>
    <x v="73"/>
    <d v="2025-03-16T00:00:00"/>
    <x v="0"/>
    <x v="3"/>
    <x v="1"/>
    <x v="0"/>
    <x v="21"/>
    <x v="3"/>
    <x v="10"/>
    <x v="0"/>
  </r>
  <r>
    <x v="2004"/>
    <x v="6"/>
    <x v="12"/>
    <n v="41.3"/>
    <n v="165.2"/>
    <x v="73"/>
    <d v="2025-03-17T00:00:00"/>
    <x v="2"/>
    <x v="3"/>
    <x v="2"/>
    <x v="0"/>
    <x v="1"/>
    <x v="1"/>
    <x v="10"/>
    <x v="2"/>
  </r>
  <r>
    <x v="2005"/>
    <x v="8"/>
    <x v="1"/>
    <n v="15.3"/>
    <n v="30.6"/>
    <x v="73"/>
    <d v="2025-03-18T00:00:00"/>
    <x v="0"/>
    <x v="2"/>
    <x v="2"/>
    <x v="0"/>
    <x v="1"/>
    <x v="2"/>
    <x v="10"/>
    <x v="0"/>
  </r>
  <r>
    <x v="2006"/>
    <x v="1"/>
    <x v="0"/>
    <n v="54.6"/>
    <n v="54.6"/>
    <x v="73"/>
    <d v="2025-03-17T00:00:00"/>
    <x v="1"/>
    <x v="1"/>
    <x v="1"/>
    <x v="0"/>
    <x v="2"/>
    <x v="1"/>
    <x v="10"/>
    <x v="1"/>
  </r>
  <r>
    <x v="2007"/>
    <x v="8"/>
    <x v="0"/>
    <n v="15.9"/>
    <n v="15.9"/>
    <x v="73"/>
    <d v="2025-03-16T00:00:00"/>
    <x v="1"/>
    <x v="0"/>
    <x v="1"/>
    <x v="0"/>
    <x v="22"/>
    <x v="3"/>
    <x v="10"/>
    <x v="1"/>
  </r>
  <r>
    <x v="2008"/>
    <x v="9"/>
    <x v="0"/>
    <n v="50.2"/>
    <n v="50.2"/>
    <x v="73"/>
    <d v="2025-03-17T00:00:00"/>
    <x v="2"/>
    <x v="3"/>
    <x v="2"/>
    <x v="0"/>
    <x v="34"/>
    <x v="1"/>
    <x v="10"/>
    <x v="2"/>
  </r>
  <r>
    <x v="2009"/>
    <x v="11"/>
    <x v="12"/>
    <n v="85.1"/>
    <n v="340.4"/>
    <x v="73"/>
    <d v="2025-03-16T00:00:00"/>
    <x v="2"/>
    <x v="3"/>
    <x v="4"/>
    <x v="0"/>
    <x v="34"/>
    <x v="3"/>
    <x v="10"/>
    <x v="2"/>
  </r>
  <r>
    <x v="2010"/>
    <x v="11"/>
    <x v="1"/>
    <n v="41.4"/>
    <n v="82.8"/>
    <x v="73"/>
    <d v="2025-03-16T00:00:00"/>
    <x v="2"/>
    <x v="0"/>
    <x v="2"/>
    <x v="0"/>
    <x v="3"/>
    <x v="3"/>
    <x v="10"/>
    <x v="2"/>
  </r>
  <r>
    <x v="2011"/>
    <x v="4"/>
    <x v="3"/>
    <n v="32.700000000000003"/>
    <n v="228.90000000000003"/>
    <x v="73"/>
    <d v="2025-03-16T00:00:00"/>
    <x v="2"/>
    <x v="2"/>
    <x v="1"/>
    <x v="0"/>
    <x v="3"/>
    <x v="3"/>
    <x v="10"/>
    <x v="2"/>
  </r>
  <r>
    <x v="2012"/>
    <x v="4"/>
    <x v="1"/>
    <n v="41.6"/>
    <n v="83.2"/>
    <x v="73"/>
    <d v="2025-03-17T00:00:00"/>
    <x v="1"/>
    <x v="4"/>
    <x v="1"/>
    <x v="0"/>
    <x v="3"/>
    <x v="1"/>
    <x v="10"/>
    <x v="1"/>
  </r>
  <r>
    <x v="2013"/>
    <x v="5"/>
    <x v="12"/>
    <n v="64.8"/>
    <n v="259.2"/>
    <x v="73"/>
    <d v="2025-03-16T00:00:00"/>
    <x v="0"/>
    <x v="2"/>
    <x v="0"/>
    <x v="0"/>
    <x v="3"/>
    <x v="3"/>
    <x v="10"/>
    <x v="0"/>
  </r>
  <r>
    <x v="2014"/>
    <x v="15"/>
    <x v="1"/>
    <n v="33.6"/>
    <n v="67.2"/>
    <x v="73"/>
    <d v="2025-03-16T00:00:00"/>
    <x v="1"/>
    <x v="0"/>
    <x v="2"/>
    <x v="0"/>
    <x v="3"/>
    <x v="3"/>
    <x v="10"/>
    <x v="1"/>
  </r>
  <r>
    <x v="2015"/>
    <x v="6"/>
    <x v="2"/>
    <n v="100.7"/>
    <n v="302.10000000000002"/>
    <x v="73"/>
    <d v="2025-03-16T00:00:00"/>
    <x v="0"/>
    <x v="1"/>
    <x v="0"/>
    <x v="0"/>
    <x v="3"/>
    <x v="3"/>
    <x v="10"/>
    <x v="0"/>
  </r>
  <r>
    <x v="2016"/>
    <x v="4"/>
    <x v="1"/>
    <n v="49.3"/>
    <n v="98.6"/>
    <x v="74"/>
    <d v="2025-03-18T00:00:00"/>
    <x v="2"/>
    <x v="4"/>
    <x v="2"/>
    <x v="0"/>
    <x v="3"/>
    <x v="1"/>
    <x v="11"/>
    <x v="2"/>
  </r>
  <r>
    <x v="2017"/>
    <x v="2"/>
    <x v="13"/>
    <n v="97"/>
    <n v="582"/>
    <x v="74"/>
    <d v="2025-03-19T00:00:00"/>
    <x v="1"/>
    <x v="2"/>
    <x v="2"/>
    <x v="0"/>
    <x v="3"/>
    <x v="2"/>
    <x v="11"/>
    <x v="1"/>
  </r>
  <r>
    <x v="2018"/>
    <x v="0"/>
    <x v="13"/>
    <n v="25.2"/>
    <n v="151.19999999999999"/>
    <x v="74"/>
    <d v="2025-03-19T00:00:00"/>
    <x v="2"/>
    <x v="4"/>
    <x v="2"/>
    <x v="0"/>
    <x v="3"/>
    <x v="2"/>
    <x v="11"/>
    <x v="2"/>
  </r>
  <r>
    <x v="2019"/>
    <x v="0"/>
    <x v="5"/>
    <n v="12.2"/>
    <n v="134.19999999999999"/>
    <x v="74"/>
    <d v="2025-03-17T00:00:00"/>
    <x v="0"/>
    <x v="0"/>
    <x v="1"/>
    <x v="0"/>
    <x v="3"/>
    <x v="3"/>
    <x v="11"/>
    <x v="0"/>
  </r>
  <r>
    <x v="2020"/>
    <x v="8"/>
    <x v="3"/>
    <n v="38.799999999999997"/>
    <n v="271.59999999999997"/>
    <x v="74"/>
    <d v="2025-03-18T00:00:00"/>
    <x v="2"/>
    <x v="1"/>
    <x v="1"/>
    <x v="0"/>
    <x v="23"/>
    <x v="1"/>
    <x v="11"/>
    <x v="2"/>
  </r>
  <r>
    <x v="2021"/>
    <x v="2"/>
    <x v="12"/>
    <n v="53.2"/>
    <n v="212.8"/>
    <x v="74"/>
    <d v="2025-03-17T00:00:00"/>
    <x v="1"/>
    <x v="0"/>
    <x v="2"/>
    <x v="0"/>
    <x v="8"/>
    <x v="3"/>
    <x v="11"/>
    <x v="1"/>
  </r>
  <r>
    <x v="2022"/>
    <x v="6"/>
    <x v="3"/>
    <n v="151"/>
    <n v="1057"/>
    <x v="74"/>
    <d v="2025-03-17T00:00:00"/>
    <x v="3"/>
    <x v="1"/>
    <x v="1"/>
    <x v="0"/>
    <x v="8"/>
    <x v="3"/>
    <x v="11"/>
    <x v="3"/>
  </r>
  <r>
    <x v="2023"/>
    <x v="1"/>
    <x v="1"/>
    <n v="37.1"/>
    <n v="74.2"/>
    <x v="74"/>
    <d v="2025-03-17T00:00:00"/>
    <x v="2"/>
    <x v="4"/>
    <x v="0"/>
    <x v="0"/>
    <x v="8"/>
    <x v="3"/>
    <x v="11"/>
    <x v="2"/>
  </r>
  <r>
    <x v="2024"/>
    <x v="5"/>
    <x v="1"/>
    <n v="38.9"/>
    <n v="77.8"/>
    <x v="74"/>
    <d v="2025-03-17T00:00:00"/>
    <x v="1"/>
    <x v="4"/>
    <x v="0"/>
    <x v="0"/>
    <x v="8"/>
    <x v="3"/>
    <x v="11"/>
    <x v="1"/>
  </r>
  <r>
    <x v="2025"/>
    <x v="10"/>
    <x v="1"/>
    <n v="35.200000000000003"/>
    <n v="70.400000000000006"/>
    <x v="74"/>
    <d v="2025-03-17T00:00:00"/>
    <x v="1"/>
    <x v="0"/>
    <x v="2"/>
    <x v="0"/>
    <x v="17"/>
    <x v="3"/>
    <x v="11"/>
    <x v="1"/>
  </r>
  <r>
    <x v="2026"/>
    <x v="0"/>
    <x v="1"/>
    <n v="22.3"/>
    <n v="44.6"/>
    <x v="74"/>
    <d v="2025-03-18T00:00:00"/>
    <x v="2"/>
    <x v="1"/>
    <x v="0"/>
    <x v="0"/>
    <x v="9"/>
    <x v="1"/>
    <x v="11"/>
    <x v="2"/>
  </r>
  <r>
    <x v="2027"/>
    <x v="9"/>
    <x v="0"/>
    <n v="43.3"/>
    <n v="43.3"/>
    <x v="74"/>
    <d v="2025-03-19T00:00:00"/>
    <x v="2"/>
    <x v="0"/>
    <x v="2"/>
    <x v="0"/>
    <x v="11"/>
    <x v="2"/>
    <x v="11"/>
    <x v="2"/>
  </r>
  <r>
    <x v="2028"/>
    <x v="6"/>
    <x v="13"/>
    <n v="75.900000000000006"/>
    <n v="455.40000000000003"/>
    <x v="74"/>
    <d v="2025-03-22T00:00:00"/>
    <x v="1"/>
    <x v="0"/>
    <x v="0"/>
    <x v="0"/>
    <x v="11"/>
    <x v="4"/>
    <x v="11"/>
    <x v="1"/>
  </r>
  <r>
    <x v="2029"/>
    <x v="6"/>
    <x v="2"/>
    <n v="78.7"/>
    <n v="236.10000000000002"/>
    <x v="74"/>
    <d v="2025-03-20T00:00:00"/>
    <x v="2"/>
    <x v="2"/>
    <x v="1"/>
    <x v="0"/>
    <x v="11"/>
    <x v="5"/>
    <x v="11"/>
    <x v="2"/>
  </r>
  <r>
    <x v="2030"/>
    <x v="1"/>
    <x v="0"/>
    <n v="66.3"/>
    <n v="66.3"/>
    <x v="74"/>
    <d v="2025-03-20T00:00:00"/>
    <x v="2"/>
    <x v="0"/>
    <x v="2"/>
    <x v="0"/>
    <x v="19"/>
    <x v="5"/>
    <x v="11"/>
    <x v="2"/>
  </r>
  <r>
    <x v="2031"/>
    <x v="8"/>
    <x v="1"/>
    <n v="33.6"/>
    <n v="67.2"/>
    <x v="74"/>
    <d v="2025-03-16T00:00:00"/>
    <x v="1"/>
    <x v="0"/>
    <x v="1"/>
    <x v="0"/>
    <x v="19"/>
    <x v="7"/>
    <x v="11"/>
    <x v="1"/>
  </r>
  <r>
    <x v="2032"/>
    <x v="2"/>
    <x v="3"/>
    <n v="61.4"/>
    <n v="429.8"/>
    <x v="74"/>
    <d v="2025-03-17T00:00:00"/>
    <x v="1"/>
    <x v="4"/>
    <x v="0"/>
    <x v="0"/>
    <x v="19"/>
    <x v="3"/>
    <x v="11"/>
    <x v="1"/>
  </r>
  <r>
    <x v="2033"/>
    <x v="8"/>
    <x v="1"/>
    <n v="17.5"/>
    <n v="35"/>
    <x v="74"/>
    <d v="2025-03-19T00:00:00"/>
    <x v="2"/>
    <x v="0"/>
    <x v="0"/>
    <x v="0"/>
    <x v="21"/>
    <x v="2"/>
    <x v="11"/>
    <x v="2"/>
  </r>
  <r>
    <x v="2034"/>
    <x v="8"/>
    <x v="1"/>
    <n v="32.5"/>
    <n v="65"/>
    <x v="74"/>
    <d v="2025-03-19T00:00:00"/>
    <x v="2"/>
    <x v="1"/>
    <x v="0"/>
    <x v="0"/>
    <x v="21"/>
    <x v="2"/>
    <x v="11"/>
    <x v="2"/>
  </r>
  <r>
    <x v="2035"/>
    <x v="4"/>
    <x v="0"/>
    <n v="34.6"/>
    <n v="34.6"/>
    <x v="74"/>
    <d v="2025-03-17T00:00:00"/>
    <x v="2"/>
    <x v="4"/>
    <x v="0"/>
    <x v="0"/>
    <x v="21"/>
    <x v="3"/>
    <x v="11"/>
    <x v="2"/>
  </r>
  <r>
    <x v="2036"/>
    <x v="2"/>
    <x v="0"/>
    <n v="75.900000000000006"/>
    <n v="75.900000000000006"/>
    <x v="74"/>
    <d v="2025-03-16T00:00:00"/>
    <x v="1"/>
    <x v="1"/>
    <x v="2"/>
    <x v="0"/>
    <x v="21"/>
    <x v="7"/>
    <x v="11"/>
    <x v="1"/>
  </r>
  <r>
    <x v="2037"/>
    <x v="1"/>
    <x v="2"/>
    <n v="42.1"/>
    <n v="126.30000000000001"/>
    <x v="74"/>
    <d v="2025-03-19T00:00:00"/>
    <x v="1"/>
    <x v="1"/>
    <x v="1"/>
    <x v="0"/>
    <x v="21"/>
    <x v="2"/>
    <x v="11"/>
    <x v="1"/>
  </r>
  <r>
    <x v="2038"/>
    <x v="7"/>
    <x v="2"/>
    <n v="65.3"/>
    <n v="195.89999999999998"/>
    <x v="74"/>
    <d v="2025-03-23T00:00:00"/>
    <x v="1"/>
    <x v="0"/>
    <x v="0"/>
    <x v="0"/>
    <x v="1"/>
    <x v="6"/>
    <x v="11"/>
    <x v="1"/>
  </r>
  <r>
    <x v="2039"/>
    <x v="15"/>
    <x v="0"/>
    <n v="20.6"/>
    <n v="20.6"/>
    <x v="74"/>
    <d v="2025-03-19T00:00:00"/>
    <x v="1"/>
    <x v="3"/>
    <x v="0"/>
    <x v="0"/>
    <x v="42"/>
    <x v="2"/>
    <x v="11"/>
    <x v="1"/>
  </r>
  <r>
    <x v="2040"/>
    <x v="8"/>
    <x v="3"/>
    <n v="16.5"/>
    <n v="115.5"/>
    <x v="74"/>
    <d v="2025-03-17T00:00:00"/>
    <x v="1"/>
    <x v="1"/>
    <x v="1"/>
    <x v="0"/>
    <x v="2"/>
    <x v="3"/>
    <x v="11"/>
    <x v="1"/>
  </r>
  <r>
    <x v="2041"/>
    <x v="16"/>
    <x v="7"/>
    <n v="36.200000000000003"/>
    <n v="362"/>
    <x v="74"/>
    <d v="2025-03-18T00:00:00"/>
    <x v="1"/>
    <x v="0"/>
    <x v="2"/>
    <x v="0"/>
    <x v="2"/>
    <x v="1"/>
    <x v="11"/>
    <x v="1"/>
  </r>
  <r>
    <x v="2042"/>
    <x v="6"/>
    <x v="0"/>
    <n v="53.2"/>
    <n v="53.2"/>
    <x v="74"/>
    <d v="2025-03-17T00:00:00"/>
    <x v="2"/>
    <x v="0"/>
    <x v="1"/>
    <x v="0"/>
    <x v="22"/>
    <x v="3"/>
    <x v="11"/>
    <x v="2"/>
  </r>
  <r>
    <x v="2043"/>
    <x v="2"/>
    <x v="21"/>
    <n v="176"/>
    <n v="2464"/>
    <x v="74"/>
    <d v="2025-03-17T00:00:00"/>
    <x v="2"/>
    <x v="0"/>
    <x v="1"/>
    <x v="0"/>
    <x v="3"/>
    <x v="3"/>
    <x v="11"/>
    <x v="2"/>
  </r>
  <r>
    <x v="2044"/>
    <x v="1"/>
    <x v="0"/>
    <n v="52.4"/>
    <n v="52.4"/>
    <x v="74"/>
    <d v="2025-03-17T00:00:00"/>
    <x v="1"/>
    <x v="1"/>
    <x v="0"/>
    <x v="0"/>
    <x v="3"/>
    <x v="3"/>
    <x v="11"/>
    <x v="1"/>
  </r>
  <r>
    <x v="2045"/>
    <x v="10"/>
    <x v="2"/>
    <n v="48.2"/>
    <n v="144.60000000000002"/>
    <x v="74"/>
    <d v="2025-03-17T00:00:00"/>
    <x v="2"/>
    <x v="1"/>
    <x v="2"/>
    <x v="0"/>
    <x v="3"/>
    <x v="3"/>
    <x v="11"/>
    <x v="2"/>
  </r>
  <r>
    <x v="2046"/>
    <x v="15"/>
    <x v="0"/>
    <n v="51.6"/>
    <n v="51.6"/>
    <x v="74"/>
    <d v="2025-03-20T00:00:00"/>
    <x v="2"/>
    <x v="2"/>
    <x v="1"/>
    <x v="0"/>
    <x v="3"/>
    <x v="5"/>
    <x v="11"/>
    <x v="2"/>
  </r>
  <r>
    <x v="2047"/>
    <x v="0"/>
    <x v="12"/>
    <n v="33.700000000000003"/>
    <n v="134.80000000000001"/>
    <x v="75"/>
    <d v="2025-03-18T00:00:00"/>
    <x v="1"/>
    <x v="0"/>
    <x v="0"/>
    <x v="0"/>
    <x v="3"/>
    <x v="3"/>
    <x v="11"/>
    <x v="1"/>
  </r>
  <r>
    <x v="2048"/>
    <x v="4"/>
    <x v="7"/>
    <n v="36.299999999999997"/>
    <n v="363"/>
    <x v="75"/>
    <d v="2025-03-19T00:00:00"/>
    <x v="2"/>
    <x v="4"/>
    <x v="1"/>
    <x v="0"/>
    <x v="3"/>
    <x v="1"/>
    <x v="11"/>
    <x v="2"/>
  </r>
  <r>
    <x v="2049"/>
    <x v="8"/>
    <x v="0"/>
    <n v="23.4"/>
    <n v="23.4"/>
    <x v="75"/>
    <d v="2025-03-22T00:00:00"/>
    <x v="2"/>
    <x v="1"/>
    <x v="2"/>
    <x v="0"/>
    <x v="3"/>
    <x v="0"/>
    <x v="11"/>
    <x v="2"/>
  </r>
  <r>
    <x v="2050"/>
    <x v="15"/>
    <x v="8"/>
    <n v="56.6"/>
    <n v="452.8"/>
    <x v="75"/>
    <d v="2025-03-19T00:00:00"/>
    <x v="2"/>
    <x v="1"/>
    <x v="0"/>
    <x v="0"/>
    <x v="3"/>
    <x v="1"/>
    <x v="11"/>
    <x v="2"/>
  </r>
  <r>
    <x v="2051"/>
    <x v="15"/>
    <x v="1"/>
    <n v="26.8"/>
    <n v="53.6"/>
    <x v="75"/>
    <d v="2025-03-18T00:00:00"/>
    <x v="1"/>
    <x v="0"/>
    <x v="0"/>
    <x v="0"/>
    <x v="4"/>
    <x v="3"/>
    <x v="11"/>
    <x v="1"/>
  </r>
  <r>
    <x v="2052"/>
    <x v="0"/>
    <x v="2"/>
    <n v="11.3"/>
    <n v="33.900000000000006"/>
    <x v="75"/>
    <d v="2025-03-19T00:00:00"/>
    <x v="1"/>
    <x v="2"/>
    <x v="0"/>
    <x v="0"/>
    <x v="25"/>
    <x v="1"/>
    <x v="11"/>
    <x v="1"/>
  </r>
  <r>
    <x v="2053"/>
    <x v="6"/>
    <x v="2"/>
    <n v="60.1"/>
    <n v="180.3"/>
    <x v="75"/>
    <d v="2025-03-20T00:00:00"/>
    <x v="2"/>
    <x v="0"/>
    <x v="0"/>
    <x v="0"/>
    <x v="7"/>
    <x v="2"/>
    <x v="11"/>
    <x v="2"/>
  </r>
  <r>
    <x v="2054"/>
    <x v="0"/>
    <x v="5"/>
    <n v="27.7"/>
    <n v="304.7"/>
    <x v="75"/>
    <d v="2025-03-22T00:00:00"/>
    <x v="2"/>
    <x v="0"/>
    <x v="0"/>
    <x v="0"/>
    <x v="8"/>
    <x v="0"/>
    <x v="11"/>
    <x v="2"/>
  </r>
  <r>
    <x v="2055"/>
    <x v="15"/>
    <x v="0"/>
    <n v="71.400000000000006"/>
    <n v="71.400000000000006"/>
    <x v="75"/>
    <d v="2025-03-20T00:00:00"/>
    <x v="1"/>
    <x v="0"/>
    <x v="2"/>
    <x v="0"/>
    <x v="8"/>
    <x v="2"/>
    <x v="11"/>
    <x v="1"/>
  </r>
  <r>
    <x v="2056"/>
    <x v="2"/>
    <x v="1"/>
    <n v="66.7"/>
    <n v="133.4"/>
    <x v="75"/>
    <d v="2025-03-18T00:00:00"/>
    <x v="2"/>
    <x v="0"/>
    <x v="2"/>
    <x v="0"/>
    <x v="8"/>
    <x v="3"/>
    <x v="11"/>
    <x v="2"/>
  </r>
  <r>
    <x v="2057"/>
    <x v="13"/>
    <x v="9"/>
    <n v="39.1"/>
    <n v="195.5"/>
    <x v="75"/>
    <d v="2025-03-18T00:00:00"/>
    <x v="2"/>
    <x v="0"/>
    <x v="0"/>
    <x v="0"/>
    <x v="8"/>
    <x v="3"/>
    <x v="11"/>
    <x v="2"/>
  </r>
  <r>
    <x v="2058"/>
    <x v="8"/>
    <x v="12"/>
    <n v="24.9"/>
    <n v="99.6"/>
    <x v="75"/>
    <d v="2025-03-22T00:00:00"/>
    <x v="1"/>
    <x v="1"/>
    <x v="2"/>
    <x v="0"/>
    <x v="8"/>
    <x v="0"/>
    <x v="11"/>
    <x v="1"/>
  </r>
  <r>
    <x v="2059"/>
    <x v="5"/>
    <x v="9"/>
    <n v="29.2"/>
    <n v="146"/>
    <x v="75"/>
    <d v="2025-03-18T00:00:00"/>
    <x v="1"/>
    <x v="0"/>
    <x v="2"/>
    <x v="0"/>
    <x v="17"/>
    <x v="3"/>
    <x v="11"/>
    <x v="1"/>
  </r>
  <r>
    <x v="2060"/>
    <x v="13"/>
    <x v="21"/>
    <n v="28.3"/>
    <n v="396.2"/>
    <x v="75"/>
    <d v="2025-03-19T00:00:00"/>
    <x v="2"/>
    <x v="1"/>
    <x v="0"/>
    <x v="0"/>
    <x v="11"/>
    <x v="1"/>
    <x v="11"/>
    <x v="2"/>
  </r>
  <r>
    <x v="2061"/>
    <x v="9"/>
    <x v="2"/>
    <n v="37.799999999999997"/>
    <n v="113.39999999999999"/>
    <x v="75"/>
    <d v="2025-03-18T00:00:00"/>
    <x v="2"/>
    <x v="0"/>
    <x v="1"/>
    <x v="0"/>
    <x v="11"/>
    <x v="3"/>
    <x v="11"/>
    <x v="2"/>
  </r>
  <r>
    <x v="2062"/>
    <x v="14"/>
    <x v="3"/>
    <n v="28.1"/>
    <n v="196.70000000000002"/>
    <x v="75"/>
    <d v="2025-03-23T00:00:00"/>
    <x v="2"/>
    <x v="2"/>
    <x v="0"/>
    <x v="0"/>
    <x v="11"/>
    <x v="4"/>
    <x v="11"/>
    <x v="2"/>
  </r>
  <r>
    <x v="2063"/>
    <x v="1"/>
    <x v="2"/>
    <n v="59.7"/>
    <n v="179.10000000000002"/>
    <x v="75"/>
    <d v="2025-03-19T00:00:00"/>
    <x v="2"/>
    <x v="2"/>
    <x v="0"/>
    <x v="0"/>
    <x v="11"/>
    <x v="1"/>
    <x v="11"/>
    <x v="2"/>
  </r>
  <r>
    <x v="2064"/>
    <x v="16"/>
    <x v="0"/>
    <n v="71.900000000000006"/>
    <n v="71.900000000000006"/>
    <x v="75"/>
    <d v="2025-03-18T00:00:00"/>
    <x v="1"/>
    <x v="1"/>
    <x v="1"/>
    <x v="0"/>
    <x v="11"/>
    <x v="3"/>
    <x v="11"/>
    <x v="1"/>
  </r>
  <r>
    <x v="2065"/>
    <x v="1"/>
    <x v="1"/>
    <n v="56.9"/>
    <n v="113.8"/>
    <x v="75"/>
    <d v="2025-03-18T00:00:00"/>
    <x v="1"/>
    <x v="2"/>
    <x v="0"/>
    <x v="0"/>
    <x v="13"/>
    <x v="3"/>
    <x v="11"/>
    <x v="1"/>
  </r>
  <r>
    <x v="2066"/>
    <x v="8"/>
    <x v="1"/>
    <n v="15.8"/>
    <n v="31.6"/>
    <x v="75"/>
    <d v="2025-03-20T00:00:00"/>
    <x v="2"/>
    <x v="2"/>
    <x v="1"/>
    <x v="0"/>
    <x v="1"/>
    <x v="2"/>
    <x v="11"/>
    <x v="2"/>
  </r>
  <r>
    <x v="2067"/>
    <x v="11"/>
    <x v="12"/>
    <n v="61.7"/>
    <n v="246.8"/>
    <x v="75"/>
    <d v="2025-03-19T00:00:00"/>
    <x v="2"/>
    <x v="2"/>
    <x v="0"/>
    <x v="0"/>
    <x v="22"/>
    <x v="1"/>
    <x v="11"/>
    <x v="2"/>
  </r>
  <r>
    <x v="2068"/>
    <x v="2"/>
    <x v="7"/>
    <n v="105.2"/>
    <n v="1052"/>
    <x v="75"/>
    <d v="2025-03-19T00:00:00"/>
    <x v="1"/>
    <x v="1"/>
    <x v="4"/>
    <x v="0"/>
    <x v="3"/>
    <x v="1"/>
    <x v="11"/>
    <x v="1"/>
  </r>
  <r>
    <x v="2069"/>
    <x v="0"/>
    <x v="1"/>
    <n v="17"/>
    <n v="34"/>
    <x v="75"/>
    <d v="2025-03-19T00:00:00"/>
    <x v="2"/>
    <x v="2"/>
    <x v="0"/>
    <x v="0"/>
    <x v="3"/>
    <x v="1"/>
    <x v="11"/>
    <x v="2"/>
  </r>
  <r>
    <x v="2070"/>
    <x v="6"/>
    <x v="2"/>
    <n v="84.1"/>
    <n v="252.29999999999998"/>
    <x v="75"/>
    <d v="2025-03-18T00:00:00"/>
    <x v="1"/>
    <x v="2"/>
    <x v="0"/>
    <x v="0"/>
    <x v="3"/>
    <x v="3"/>
    <x v="11"/>
    <x v="1"/>
  </r>
  <r>
    <x v="2071"/>
    <x v="3"/>
    <x v="12"/>
    <n v="59.5"/>
    <n v="238"/>
    <x v="75"/>
    <d v="2025-03-22T00:00:00"/>
    <x v="1"/>
    <x v="0"/>
    <x v="2"/>
    <x v="0"/>
    <x v="3"/>
    <x v="0"/>
    <x v="11"/>
    <x v="1"/>
  </r>
  <r>
    <x v="2072"/>
    <x v="8"/>
    <x v="1"/>
    <n v="57.5"/>
    <n v="115"/>
    <x v="75"/>
    <d v="2025-03-19T00:00:00"/>
    <x v="1"/>
    <x v="1"/>
    <x v="2"/>
    <x v="0"/>
    <x v="3"/>
    <x v="1"/>
    <x v="11"/>
    <x v="1"/>
  </r>
  <r>
    <x v="2073"/>
    <x v="8"/>
    <x v="0"/>
    <n v="34.299999999999997"/>
    <n v="34.299999999999997"/>
    <x v="75"/>
    <d v="2025-03-18T00:00:00"/>
    <x v="2"/>
    <x v="4"/>
    <x v="2"/>
    <x v="0"/>
    <x v="3"/>
    <x v="3"/>
    <x v="11"/>
    <x v="2"/>
  </r>
  <r>
    <x v="2074"/>
    <x v="5"/>
    <x v="1"/>
    <n v="27.8"/>
    <n v="55.6"/>
    <x v="76"/>
    <d v="2025-03-20T00:00:00"/>
    <x v="2"/>
    <x v="0"/>
    <x v="0"/>
    <x v="0"/>
    <x v="3"/>
    <x v="1"/>
    <x v="11"/>
    <x v="2"/>
  </r>
  <r>
    <x v="2075"/>
    <x v="12"/>
    <x v="1"/>
    <n v="85"/>
    <n v="170"/>
    <x v="76"/>
    <d v="2025-03-18T00:00:00"/>
    <x v="1"/>
    <x v="2"/>
    <x v="2"/>
    <x v="0"/>
    <x v="3"/>
    <x v="7"/>
    <x v="11"/>
    <x v="1"/>
  </r>
  <r>
    <x v="2076"/>
    <x v="6"/>
    <x v="1"/>
    <n v="95"/>
    <n v="190"/>
    <x v="76"/>
    <d v="2025-03-20T00:00:00"/>
    <x v="2"/>
    <x v="0"/>
    <x v="0"/>
    <x v="0"/>
    <x v="3"/>
    <x v="1"/>
    <x v="11"/>
    <x v="2"/>
  </r>
  <r>
    <x v="2077"/>
    <x v="16"/>
    <x v="1"/>
    <n v="32"/>
    <n v="64"/>
    <x v="76"/>
    <d v="2025-03-20T00:00:00"/>
    <x v="1"/>
    <x v="0"/>
    <x v="1"/>
    <x v="0"/>
    <x v="3"/>
    <x v="1"/>
    <x v="11"/>
    <x v="1"/>
  </r>
  <r>
    <x v="2078"/>
    <x v="2"/>
    <x v="1"/>
    <n v="65.2"/>
    <n v="130.4"/>
    <x v="76"/>
    <d v="2025-03-19T00:00:00"/>
    <x v="2"/>
    <x v="1"/>
    <x v="0"/>
    <x v="0"/>
    <x v="3"/>
    <x v="3"/>
    <x v="11"/>
    <x v="2"/>
  </r>
  <r>
    <x v="2079"/>
    <x v="17"/>
    <x v="12"/>
    <n v="22"/>
    <n v="88"/>
    <x v="76"/>
    <d v="2025-03-19T00:00:00"/>
    <x v="1"/>
    <x v="1"/>
    <x v="2"/>
    <x v="0"/>
    <x v="3"/>
    <x v="3"/>
    <x v="11"/>
    <x v="1"/>
  </r>
  <r>
    <x v="2080"/>
    <x v="15"/>
    <x v="2"/>
    <n v="69.400000000000006"/>
    <n v="208.20000000000002"/>
    <x v="76"/>
    <d v="2025-03-21T00:00:00"/>
    <x v="1"/>
    <x v="1"/>
    <x v="2"/>
    <x v="0"/>
    <x v="3"/>
    <x v="2"/>
    <x v="11"/>
    <x v="1"/>
  </r>
  <r>
    <x v="2081"/>
    <x v="10"/>
    <x v="13"/>
    <n v="31.5"/>
    <n v="189"/>
    <x v="76"/>
    <d v="2025-03-20T00:00:00"/>
    <x v="2"/>
    <x v="0"/>
    <x v="2"/>
    <x v="0"/>
    <x v="3"/>
    <x v="1"/>
    <x v="11"/>
    <x v="2"/>
  </r>
  <r>
    <x v="2082"/>
    <x v="6"/>
    <x v="0"/>
    <n v="45.8"/>
    <n v="45.8"/>
    <x v="76"/>
    <d v="2025-03-22T00:00:00"/>
    <x v="3"/>
    <x v="0"/>
    <x v="0"/>
    <x v="0"/>
    <x v="3"/>
    <x v="5"/>
    <x v="11"/>
    <x v="3"/>
  </r>
  <r>
    <x v="2083"/>
    <x v="19"/>
    <x v="12"/>
    <n v="12.8"/>
    <n v="51.2"/>
    <x v="76"/>
    <d v="2025-03-25T00:00:00"/>
    <x v="2"/>
    <x v="1"/>
    <x v="1"/>
    <x v="0"/>
    <x v="5"/>
    <x v="6"/>
    <x v="11"/>
    <x v="2"/>
  </r>
  <r>
    <x v="2084"/>
    <x v="5"/>
    <x v="2"/>
    <n v="115.3"/>
    <n v="345.9"/>
    <x v="76"/>
    <d v="2025-03-19T00:00:00"/>
    <x v="2"/>
    <x v="2"/>
    <x v="2"/>
    <x v="0"/>
    <x v="6"/>
    <x v="3"/>
    <x v="11"/>
    <x v="2"/>
  </r>
  <r>
    <x v="2085"/>
    <x v="5"/>
    <x v="1"/>
    <n v="85"/>
    <n v="170"/>
    <x v="76"/>
    <d v="2025-03-20T00:00:00"/>
    <x v="2"/>
    <x v="1"/>
    <x v="0"/>
    <x v="0"/>
    <x v="7"/>
    <x v="1"/>
    <x v="11"/>
    <x v="2"/>
  </r>
  <r>
    <x v="2086"/>
    <x v="8"/>
    <x v="2"/>
    <n v="56.6"/>
    <n v="169.8"/>
    <x v="76"/>
    <d v="2025-03-19T00:00:00"/>
    <x v="2"/>
    <x v="1"/>
    <x v="2"/>
    <x v="0"/>
    <x v="7"/>
    <x v="3"/>
    <x v="11"/>
    <x v="2"/>
  </r>
  <r>
    <x v="2087"/>
    <x v="15"/>
    <x v="6"/>
    <n v="46.3"/>
    <n v="1250.0999999999999"/>
    <x v="76"/>
    <d v="2025-03-21T00:00:00"/>
    <x v="1"/>
    <x v="0"/>
    <x v="0"/>
    <x v="0"/>
    <x v="7"/>
    <x v="2"/>
    <x v="11"/>
    <x v="1"/>
  </r>
  <r>
    <x v="2088"/>
    <x v="14"/>
    <x v="12"/>
    <n v="23"/>
    <n v="92"/>
    <x v="76"/>
    <d v="2025-03-22T00:00:00"/>
    <x v="1"/>
    <x v="3"/>
    <x v="2"/>
    <x v="0"/>
    <x v="7"/>
    <x v="5"/>
    <x v="11"/>
    <x v="1"/>
  </r>
  <r>
    <x v="2089"/>
    <x v="8"/>
    <x v="13"/>
    <n v="42.1"/>
    <n v="252.60000000000002"/>
    <x v="76"/>
    <d v="2025-03-20T00:00:00"/>
    <x v="1"/>
    <x v="4"/>
    <x v="0"/>
    <x v="0"/>
    <x v="8"/>
    <x v="1"/>
    <x v="11"/>
    <x v="1"/>
  </r>
  <r>
    <x v="2090"/>
    <x v="5"/>
    <x v="3"/>
    <n v="57.4"/>
    <n v="401.8"/>
    <x v="76"/>
    <d v="2025-03-22T00:00:00"/>
    <x v="2"/>
    <x v="1"/>
    <x v="4"/>
    <x v="0"/>
    <x v="8"/>
    <x v="5"/>
    <x v="11"/>
    <x v="2"/>
  </r>
  <r>
    <x v="2091"/>
    <x v="0"/>
    <x v="13"/>
    <n v="13.2"/>
    <n v="79.199999999999989"/>
    <x v="76"/>
    <d v="2025-03-22T00:00:00"/>
    <x v="1"/>
    <x v="2"/>
    <x v="0"/>
    <x v="0"/>
    <x v="8"/>
    <x v="5"/>
    <x v="11"/>
    <x v="1"/>
  </r>
  <r>
    <x v="2092"/>
    <x v="6"/>
    <x v="2"/>
    <n v="52.3"/>
    <n v="156.89999999999998"/>
    <x v="76"/>
    <d v="2025-03-19T00:00:00"/>
    <x v="1"/>
    <x v="1"/>
    <x v="0"/>
    <x v="0"/>
    <x v="8"/>
    <x v="3"/>
    <x v="11"/>
    <x v="1"/>
  </r>
  <r>
    <x v="2093"/>
    <x v="8"/>
    <x v="1"/>
    <n v="15.7"/>
    <n v="31.4"/>
    <x v="76"/>
    <d v="2025-03-21T00:00:00"/>
    <x v="1"/>
    <x v="1"/>
    <x v="2"/>
    <x v="0"/>
    <x v="8"/>
    <x v="2"/>
    <x v="11"/>
    <x v="1"/>
  </r>
  <r>
    <x v="2094"/>
    <x v="7"/>
    <x v="2"/>
    <n v="35"/>
    <n v="105"/>
    <x v="76"/>
    <d v="2025-03-21T00:00:00"/>
    <x v="2"/>
    <x v="1"/>
    <x v="2"/>
    <x v="0"/>
    <x v="9"/>
    <x v="2"/>
    <x v="11"/>
    <x v="2"/>
  </r>
  <r>
    <x v="2095"/>
    <x v="4"/>
    <x v="2"/>
    <n v="26.6"/>
    <n v="79.800000000000011"/>
    <x v="76"/>
    <d v="2025-03-18T00:00:00"/>
    <x v="1"/>
    <x v="1"/>
    <x v="2"/>
    <x v="0"/>
    <x v="11"/>
    <x v="7"/>
    <x v="11"/>
    <x v="1"/>
  </r>
  <r>
    <x v="2096"/>
    <x v="4"/>
    <x v="8"/>
    <n v="47.9"/>
    <n v="383.2"/>
    <x v="77"/>
    <d v="2025-03-20T00:00:00"/>
    <x v="2"/>
    <x v="3"/>
    <x v="2"/>
    <x v="0"/>
    <x v="20"/>
    <x v="3"/>
    <x v="11"/>
    <x v="2"/>
  </r>
  <r>
    <x v="2097"/>
    <x v="5"/>
    <x v="0"/>
    <n v="80.099999999999994"/>
    <n v="80.099999999999994"/>
    <x v="77"/>
    <d v="2025-03-20T00:00:00"/>
    <x v="1"/>
    <x v="2"/>
    <x v="0"/>
    <x v="0"/>
    <x v="21"/>
    <x v="3"/>
    <x v="11"/>
    <x v="1"/>
  </r>
  <r>
    <x v="2098"/>
    <x v="6"/>
    <x v="9"/>
    <n v="50.4"/>
    <n v="252"/>
    <x v="77"/>
    <d v="2025-03-20T00:00:00"/>
    <x v="1"/>
    <x v="1"/>
    <x v="2"/>
    <x v="0"/>
    <x v="21"/>
    <x v="3"/>
    <x v="11"/>
    <x v="1"/>
  </r>
  <r>
    <x v="2099"/>
    <x v="10"/>
    <x v="3"/>
    <n v="43.3"/>
    <n v="303.09999999999997"/>
    <x v="77"/>
    <d v="2025-03-20T00:00:00"/>
    <x v="1"/>
    <x v="2"/>
    <x v="0"/>
    <x v="0"/>
    <x v="21"/>
    <x v="3"/>
    <x v="11"/>
    <x v="1"/>
  </r>
  <r>
    <x v="2100"/>
    <x v="10"/>
    <x v="12"/>
    <n v="57.5"/>
    <n v="230"/>
    <x v="77"/>
    <d v="2025-03-20T00:00:00"/>
    <x v="2"/>
    <x v="1"/>
    <x v="2"/>
    <x v="0"/>
    <x v="1"/>
    <x v="3"/>
    <x v="11"/>
    <x v="2"/>
  </r>
  <r>
    <x v="2101"/>
    <x v="9"/>
    <x v="15"/>
    <n v="24.8"/>
    <n v="322.40000000000003"/>
    <x v="77"/>
    <d v="2025-03-20T00:00:00"/>
    <x v="1"/>
    <x v="0"/>
    <x v="0"/>
    <x v="0"/>
    <x v="57"/>
    <x v="3"/>
    <x v="11"/>
    <x v="1"/>
  </r>
  <r>
    <x v="2102"/>
    <x v="2"/>
    <x v="11"/>
    <n v="85.7"/>
    <n v="771.30000000000007"/>
    <x v="77"/>
    <d v="2025-03-20T00:00:00"/>
    <x v="2"/>
    <x v="0"/>
    <x v="0"/>
    <x v="0"/>
    <x v="42"/>
    <x v="3"/>
    <x v="11"/>
    <x v="2"/>
  </r>
  <r>
    <x v="2103"/>
    <x v="7"/>
    <x v="0"/>
    <n v="47.1"/>
    <n v="47.1"/>
    <x v="77"/>
    <d v="2025-03-21T00:00:00"/>
    <x v="2"/>
    <x v="0"/>
    <x v="0"/>
    <x v="0"/>
    <x v="2"/>
    <x v="1"/>
    <x v="11"/>
    <x v="2"/>
  </r>
  <r>
    <x v="2104"/>
    <x v="5"/>
    <x v="7"/>
    <n v="83.2"/>
    <n v="832"/>
    <x v="77"/>
    <d v="2025-03-23T00:00:00"/>
    <x v="2"/>
    <x v="0"/>
    <x v="0"/>
    <x v="0"/>
    <x v="33"/>
    <x v="5"/>
    <x v="11"/>
    <x v="2"/>
  </r>
  <r>
    <x v="2105"/>
    <x v="2"/>
    <x v="2"/>
    <n v="157"/>
    <n v="471"/>
    <x v="77"/>
    <d v="2025-03-21T00:00:00"/>
    <x v="2"/>
    <x v="0"/>
    <x v="2"/>
    <x v="0"/>
    <x v="22"/>
    <x v="1"/>
    <x v="11"/>
    <x v="2"/>
  </r>
  <r>
    <x v="2106"/>
    <x v="16"/>
    <x v="12"/>
    <n v="33.700000000000003"/>
    <n v="134.80000000000001"/>
    <x v="77"/>
    <d v="2025-03-20T00:00:00"/>
    <x v="1"/>
    <x v="2"/>
    <x v="2"/>
    <x v="0"/>
    <x v="22"/>
    <x v="3"/>
    <x v="11"/>
    <x v="1"/>
  </r>
  <r>
    <x v="2107"/>
    <x v="2"/>
    <x v="2"/>
    <n v="60.8"/>
    <n v="182.39999999999998"/>
    <x v="77"/>
    <d v="2025-03-23T00:00:00"/>
    <x v="2"/>
    <x v="1"/>
    <x v="1"/>
    <x v="0"/>
    <x v="3"/>
    <x v="5"/>
    <x v="11"/>
    <x v="2"/>
  </r>
  <r>
    <x v="2108"/>
    <x v="7"/>
    <x v="0"/>
    <n v="57.6"/>
    <n v="57.6"/>
    <x v="77"/>
    <d v="2025-03-20T00:00:00"/>
    <x v="1"/>
    <x v="1"/>
    <x v="4"/>
    <x v="0"/>
    <x v="3"/>
    <x v="3"/>
    <x v="11"/>
    <x v="1"/>
  </r>
  <r>
    <x v="2109"/>
    <x v="10"/>
    <x v="0"/>
    <n v="32"/>
    <n v="32"/>
    <x v="77"/>
    <d v="2025-03-21T00:00:00"/>
    <x v="1"/>
    <x v="0"/>
    <x v="0"/>
    <x v="0"/>
    <x v="3"/>
    <x v="1"/>
    <x v="11"/>
    <x v="1"/>
  </r>
  <r>
    <x v="2110"/>
    <x v="10"/>
    <x v="12"/>
    <n v="23.5"/>
    <n v="94"/>
    <x v="77"/>
    <d v="2025-03-20T00:00:00"/>
    <x v="2"/>
    <x v="0"/>
    <x v="2"/>
    <x v="0"/>
    <x v="3"/>
    <x v="3"/>
    <x v="11"/>
    <x v="2"/>
  </r>
  <r>
    <x v="2111"/>
    <x v="12"/>
    <x v="2"/>
    <n v="44.8"/>
    <n v="134.39999999999998"/>
    <x v="77"/>
    <d v="2025-03-20T00:00:00"/>
    <x v="3"/>
    <x v="4"/>
    <x v="0"/>
    <x v="0"/>
    <x v="3"/>
    <x v="3"/>
    <x v="11"/>
    <x v="3"/>
  </r>
  <r>
    <x v="2112"/>
    <x v="0"/>
    <x v="8"/>
    <n v="11.7"/>
    <n v="93.6"/>
    <x v="77"/>
    <d v="2025-03-20T00:00:00"/>
    <x v="1"/>
    <x v="2"/>
    <x v="2"/>
    <x v="0"/>
    <x v="3"/>
    <x v="3"/>
    <x v="11"/>
    <x v="1"/>
  </r>
  <r>
    <x v="2113"/>
    <x v="7"/>
    <x v="1"/>
    <n v="38.799999999999997"/>
    <n v="77.599999999999994"/>
    <x v="77"/>
    <d v="2025-03-22T00:00:00"/>
    <x v="2"/>
    <x v="2"/>
    <x v="0"/>
    <x v="0"/>
    <x v="3"/>
    <x v="2"/>
    <x v="11"/>
    <x v="2"/>
  </r>
  <r>
    <x v="2114"/>
    <x v="5"/>
    <x v="21"/>
    <n v="86.9"/>
    <n v="1216.6000000000001"/>
    <x v="77"/>
    <d v="2025-03-24T00:00:00"/>
    <x v="2"/>
    <x v="1"/>
    <x v="0"/>
    <x v="0"/>
    <x v="3"/>
    <x v="0"/>
    <x v="11"/>
    <x v="2"/>
  </r>
  <r>
    <x v="2115"/>
    <x v="8"/>
    <x v="0"/>
    <n v="18.3"/>
    <n v="18.3"/>
    <x v="77"/>
    <d v="2025-03-20T00:00:00"/>
    <x v="2"/>
    <x v="0"/>
    <x v="0"/>
    <x v="0"/>
    <x v="3"/>
    <x v="3"/>
    <x v="11"/>
    <x v="2"/>
  </r>
  <r>
    <x v="2116"/>
    <x v="5"/>
    <x v="0"/>
    <n v="47.5"/>
    <n v="47.5"/>
    <x v="77"/>
    <d v="2025-03-23T00:00:00"/>
    <x v="1"/>
    <x v="4"/>
    <x v="2"/>
    <x v="0"/>
    <x v="3"/>
    <x v="5"/>
    <x v="11"/>
    <x v="1"/>
  </r>
  <r>
    <x v="2117"/>
    <x v="1"/>
    <x v="1"/>
    <n v="78.599999999999994"/>
    <n v="157.19999999999999"/>
    <x v="77"/>
    <d v="2025-03-20T00:00:00"/>
    <x v="1"/>
    <x v="2"/>
    <x v="2"/>
    <x v="0"/>
    <x v="3"/>
    <x v="3"/>
    <x v="11"/>
    <x v="1"/>
  </r>
  <r>
    <x v="2118"/>
    <x v="6"/>
    <x v="12"/>
    <n v="87.3"/>
    <n v="349.2"/>
    <x v="77"/>
    <d v="2025-03-20T00:00:00"/>
    <x v="1"/>
    <x v="0"/>
    <x v="0"/>
    <x v="0"/>
    <x v="3"/>
    <x v="3"/>
    <x v="11"/>
    <x v="1"/>
  </r>
  <r>
    <x v="2119"/>
    <x v="9"/>
    <x v="1"/>
    <n v="63.2"/>
    <n v="126.4"/>
    <x v="77"/>
    <d v="2025-03-19T00:00:00"/>
    <x v="1"/>
    <x v="4"/>
    <x v="1"/>
    <x v="0"/>
    <x v="3"/>
    <x v="7"/>
    <x v="11"/>
    <x v="1"/>
  </r>
  <r>
    <x v="2120"/>
    <x v="5"/>
    <x v="9"/>
    <n v="33.700000000000003"/>
    <n v="168.5"/>
    <x v="77"/>
    <d v="2025-03-20T00:00:00"/>
    <x v="2"/>
    <x v="0"/>
    <x v="0"/>
    <x v="0"/>
    <x v="3"/>
    <x v="3"/>
    <x v="11"/>
    <x v="2"/>
  </r>
  <r>
    <x v="2121"/>
    <x v="2"/>
    <x v="2"/>
    <n v="107.4"/>
    <n v="322.20000000000005"/>
    <x v="77"/>
    <d v="2025-04-01T00:00:00"/>
    <x v="2"/>
    <x v="1"/>
    <x v="2"/>
    <x v="0"/>
    <x v="3"/>
    <x v="10"/>
    <x v="11"/>
    <x v="2"/>
  </r>
  <r>
    <x v="2122"/>
    <x v="4"/>
    <x v="12"/>
    <n v="22.2"/>
    <n v="88.8"/>
    <x v="77"/>
    <d v="2025-03-20T00:00:00"/>
    <x v="0"/>
    <x v="1"/>
    <x v="2"/>
    <x v="0"/>
    <x v="24"/>
    <x v="3"/>
    <x v="11"/>
    <x v="0"/>
  </r>
  <r>
    <x v="2123"/>
    <x v="18"/>
    <x v="2"/>
    <n v="52.8"/>
    <n v="158.39999999999998"/>
    <x v="77"/>
    <d v="2025-03-20T00:00:00"/>
    <x v="1"/>
    <x v="3"/>
    <x v="2"/>
    <x v="0"/>
    <x v="24"/>
    <x v="3"/>
    <x v="11"/>
    <x v="1"/>
  </r>
  <r>
    <x v="2124"/>
    <x v="8"/>
    <x v="2"/>
    <n v="41.5"/>
    <n v="124.5"/>
    <x v="77"/>
    <d v="2025-03-22T00:00:00"/>
    <x v="2"/>
    <x v="0"/>
    <x v="0"/>
    <x v="0"/>
    <x v="25"/>
    <x v="2"/>
    <x v="11"/>
    <x v="2"/>
  </r>
  <r>
    <x v="2125"/>
    <x v="12"/>
    <x v="8"/>
    <n v="103.5"/>
    <n v="828"/>
    <x v="77"/>
    <d v="2025-03-22T00:00:00"/>
    <x v="2"/>
    <x v="0"/>
    <x v="2"/>
    <x v="0"/>
    <x v="23"/>
    <x v="2"/>
    <x v="11"/>
    <x v="2"/>
  </r>
  <r>
    <x v="2126"/>
    <x v="4"/>
    <x v="21"/>
    <n v="37.5"/>
    <n v="525"/>
    <x v="77"/>
    <d v="2025-03-19T00:00:00"/>
    <x v="2"/>
    <x v="1"/>
    <x v="2"/>
    <x v="0"/>
    <x v="6"/>
    <x v="7"/>
    <x v="11"/>
    <x v="2"/>
  </r>
  <r>
    <x v="2127"/>
    <x v="15"/>
    <x v="8"/>
    <n v="44.4"/>
    <n v="355.2"/>
    <x v="77"/>
    <d v="2025-03-25T00:00:00"/>
    <x v="2"/>
    <x v="3"/>
    <x v="2"/>
    <x v="0"/>
    <x v="7"/>
    <x v="4"/>
    <x v="11"/>
    <x v="2"/>
  </r>
  <r>
    <x v="2128"/>
    <x v="8"/>
    <x v="2"/>
    <n v="26.2"/>
    <n v="78.599999999999994"/>
    <x v="77"/>
    <d v="2025-03-20T00:00:00"/>
    <x v="1"/>
    <x v="0"/>
    <x v="0"/>
    <x v="0"/>
    <x v="8"/>
    <x v="3"/>
    <x v="11"/>
    <x v="1"/>
  </r>
  <r>
    <x v="2129"/>
    <x v="1"/>
    <x v="3"/>
    <n v="32.200000000000003"/>
    <n v="225.40000000000003"/>
    <x v="77"/>
    <d v="2025-03-20T00:00:00"/>
    <x v="2"/>
    <x v="1"/>
    <x v="2"/>
    <x v="0"/>
    <x v="8"/>
    <x v="3"/>
    <x v="11"/>
    <x v="2"/>
  </r>
  <r>
    <x v="2130"/>
    <x v="8"/>
    <x v="0"/>
    <n v="17.399999999999999"/>
    <n v="17.399999999999999"/>
    <x v="77"/>
    <d v="2025-03-23T00:00:00"/>
    <x v="0"/>
    <x v="2"/>
    <x v="1"/>
    <x v="0"/>
    <x v="8"/>
    <x v="5"/>
    <x v="11"/>
    <x v="0"/>
  </r>
  <r>
    <x v="2131"/>
    <x v="8"/>
    <x v="13"/>
    <n v="72.3"/>
    <n v="433.79999999999995"/>
    <x v="77"/>
    <d v="2025-03-22T00:00:00"/>
    <x v="2"/>
    <x v="0"/>
    <x v="0"/>
    <x v="0"/>
    <x v="8"/>
    <x v="2"/>
    <x v="11"/>
    <x v="2"/>
  </r>
  <r>
    <x v="2132"/>
    <x v="8"/>
    <x v="5"/>
    <n v="24.3"/>
    <n v="267.3"/>
    <x v="77"/>
    <d v="2025-03-20T00:00:00"/>
    <x v="1"/>
    <x v="0"/>
    <x v="0"/>
    <x v="0"/>
    <x v="8"/>
    <x v="3"/>
    <x v="11"/>
    <x v="1"/>
  </r>
  <r>
    <x v="2133"/>
    <x v="13"/>
    <x v="2"/>
    <n v="49.1"/>
    <n v="147.30000000000001"/>
    <x v="77"/>
    <d v="2025-03-25T00:00:00"/>
    <x v="1"/>
    <x v="2"/>
    <x v="4"/>
    <x v="0"/>
    <x v="8"/>
    <x v="4"/>
    <x v="11"/>
    <x v="1"/>
  </r>
  <r>
    <x v="2134"/>
    <x v="2"/>
    <x v="7"/>
    <n v="234.7"/>
    <n v="2347"/>
    <x v="77"/>
    <d v="2025-03-20T00:00:00"/>
    <x v="1"/>
    <x v="3"/>
    <x v="1"/>
    <x v="0"/>
    <x v="8"/>
    <x v="3"/>
    <x v="11"/>
    <x v="1"/>
  </r>
  <r>
    <x v="2135"/>
    <x v="3"/>
    <x v="9"/>
    <n v="76.099999999999994"/>
    <n v="380.5"/>
    <x v="77"/>
    <d v="2025-03-21T00:00:00"/>
    <x v="1"/>
    <x v="1"/>
    <x v="1"/>
    <x v="0"/>
    <x v="17"/>
    <x v="1"/>
    <x v="11"/>
    <x v="1"/>
  </r>
  <r>
    <x v="2136"/>
    <x v="1"/>
    <x v="2"/>
    <n v="93.9"/>
    <n v="281.70000000000005"/>
    <x v="77"/>
    <d v="2025-03-20T00:00:00"/>
    <x v="1"/>
    <x v="1"/>
    <x v="4"/>
    <x v="0"/>
    <x v="11"/>
    <x v="3"/>
    <x v="11"/>
    <x v="1"/>
  </r>
  <r>
    <x v="2137"/>
    <x v="2"/>
    <x v="12"/>
    <n v="187"/>
    <n v="748"/>
    <x v="78"/>
    <d v="2025-03-23T00:00:00"/>
    <x v="1"/>
    <x v="0"/>
    <x v="0"/>
    <x v="0"/>
    <x v="11"/>
    <x v="2"/>
    <x v="11"/>
    <x v="1"/>
  </r>
  <r>
    <x v="2138"/>
    <x v="8"/>
    <x v="1"/>
    <n v="18"/>
    <n v="36"/>
    <x v="78"/>
    <d v="2025-03-21T00:00:00"/>
    <x v="2"/>
    <x v="1"/>
    <x v="2"/>
    <x v="0"/>
    <x v="53"/>
    <x v="3"/>
    <x v="11"/>
    <x v="2"/>
  </r>
  <r>
    <x v="2139"/>
    <x v="4"/>
    <x v="0"/>
    <n v="24.4"/>
    <n v="24.4"/>
    <x v="78"/>
    <d v="2025-03-21T00:00:00"/>
    <x v="2"/>
    <x v="4"/>
    <x v="2"/>
    <x v="0"/>
    <x v="21"/>
    <x v="3"/>
    <x v="11"/>
    <x v="2"/>
  </r>
  <r>
    <x v="2140"/>
    <x v="10"/>
    <x v="1"/>
    <n v="38.799999999999997"/>
    <n v="77.599999999999994"/>
    <x v="78"/>
    <d v="2025-03-21T00:00:00"/>
    <x v="1"/>
    <x v="4"/>
    <x v="1"/>
    <x v="0"/>
    <x v="3"/>
    <x v="3"/>
    <x v="11"/>
    <x v="1"/>
  </r>
  <r>
    <x v="2141"/>
    <x v="3"/>
    <x v="0"/>
    <n v="59.7"/>
    <n v="59.7"/>
    <x v="78"/>
    <d v="2025-03-23T00:00:00"/>
    <x v="1"/>
    <x v="3"/>
    <x v="0"/>
    <x v="0"/>
    <x v="3"/>
    <x v="2"/>
    <x v="11"/>
    <x v="1"/>
  </r>
  <r>
    <x v="2142"/>
    <x v="7"/>
    <x v="0"/>
    <n v="31.2"/>
    <n v="31.2"/>
    <x v="78"/>
    <d v="2025-03-21T00:00:00"/>
    <x v="1"/>
    <x v="1"/>
    <x v="2"/>
    <x v="0"/>
    <x v="3"/>
    <x v="3"/>
    <x v="11"/>
    <x v="1"/>
  </r>
  <r>
    <x v="2143"/>
    <x v="0"/>
    <x v="0"/>
    <n v="16.8"/>
    <n v="16.8"/>
    <x v="78"/>
    <d v="2025-03-21T00:00:00"/>
    <x v="2"/>
    <x v="2"/>
    <x v="1"/>
    <x v="0"/>
    <x v="3"/>
    <x v="3"/>
    <x v="11"/>
    <x v="2"/>
  </r>
  <r>
    <x v="2144"/>
    <x v="8"/>
    <x v="0"/>
    <n v="46"/>
    <n v="46"/>
    <x v="78"/>
    <d v="2025-03-21T00:00:00"/>
    <x v="1"/>
    <x v="0"/>
    <x v="0"/>
    <x v="0"/>
    <x v="3"/>
    <x v="3"/>
    <x v="11"/>
    <x v="1"/>
  </r>
  <r>
    <x v="2145"/>
    <x v="9"/>
    <x v="8"/>
    <n v="42.2"/>
    <n v="337.6"/>
    <x v="78"/>
    <d v="2025-03-23T00:00:00"/>
    <x v="2"/>
    <x v="3"/>
    <x v="2"/>
    <x v="0"/>
    <x v="3"/>
    <x v="2"/>
    <x v="11"/>
    <x v="2"/>
  </r>
  <r>
    <x v="2146"/>
    <x v="1"/>
    <x v="2"/>
    <n v="71.5"/>
    <n v="214.5"/>
    <x v="78"/>
    <d v="2025-04-03T00:00:00"/>
    <x v="2"/>
    <x v="0"/>
    <x v="0"/>
    <x v="0"/>
    <x v="3"/>
    <x v="12"/>
    <x v="11"/>
    <x v="2"/>
  </r>
  <r>
    <x v="2147"/>
    <x v="1"/>
    <x v="1"/>
    <n v="76.599999999999994"/>
    <n v="153.19999999999999"/>
    <x v="78"/>
    <d v="2025-03-20T00:00:00"/>
    <x v="1"/>
    <x v="0"/>
    <x v="2"/>
    <x v="0"/>
    <x v="3"/>
    <x v="7"/>
    <x v="11"/>
    <x v="1"/>
  </r>
  <r>
    <x v="2148"/>
    <x v="12"/>
    <x v="1"/>
    <n v="87.3"/>
    <n v="174.6"/>
    <x v="78"/>
    <d v="2025-03-28T00:00:00"/>
    <x v="2"/>
    <x v="3"/>
    <x v="2"/>
    <x v="0"/>
    <x v="3"/>
    <x v="9"/>
    <x v="11"/>
    <x v="2"/>
  </r>
  <r>
    <x v="2149"/>
    <x v="1"/>
    <x v="0"/>
    <n v="63"/>
    <n v="63"/>
    <x v="78"/>
    <d v="2025-03-23T00:00:00"/>
    <x v="1"/>
    <x v="3"/>
    <x v="0"/>
    <x v="0"/>
    <x v="3"/>
    <x v="2"/>
    <x v="11"/>
    <x v="1"/>
  </r>
  <r>
    <x v="2150"/>
    <x v="8"/>
    <x v="1"/>
    <n v="41.7"/>
    <n v="83.4"/>
    <x v="78"/>
    <d v="2025-03-21T00:00:00"/>
    <x v="2"/>
    <x v="4"/>
    <x v="1"/>
    <x v="0"/>
    <x v="43"/>
    <x v="3"/>
    <x v="11"/>
    <x v="2"/>
  </r>
  <r>
    <x v="2151"/>
    <x v="6"/>
    <x v="1"/>
    <n v="76.099999999999994"/>
    <n v="152.19999999999999"/>
    <x v="78"/>
    <d v="2025-03-20T00:00:00"/>
    <x v="2"/>
    <x v="4"/>
    <x v="2"/>
    <x v="0"/>
    <x v="16"/>
    <x v="7"/>
    <x v="11"/>
    <x v="2"/>
  </r>
  <r>
    <x v="2152"/>
    <x v="13"/>
    <x v="1"/>
    <n v="28.5"/>
    <n v="57"/>
    <x v="78"/>
    <d v="2025-03-21T00:00:00"/>
    <x v="2"/>
    <x v="0"/>
    <x v="2"/>
    <x v="0"/>
    <x v="4"/>
    <x v="3"/>
    <x v="11"/>
    <x v="2"/>
  </r>
  <r>
    <x v="2153"/>
    <x v="0"/>
    <x v="12"/>
    <n v="32.1"/>
    <n v="128.4"/>
    <x v="78"/>
    <d v="2025-03-21T00:00:00"/>
    <x v="2"/>
    <x v="1"/>
    <x v="2"/>
    <x v="0"/>
    <x v="25"/>
    <x v="3"/>
    <x v="11"/>
    <x v="2"/>
  </r>
  <r>
    <x v="2154"/>
    <x v="4"/>
    <x v="2"/>
    <n v="39"/>
    <n v="117"/>
    <x v="78"/>
    <d v="2025-03-23T00:00:00"/>
    <x v="1"/>
    <x v="1"/>
    <x v="2"/>
    <x v="0"/>
    <x v="25"/>
    <x v="2"/>
    <x v="11"/>
    <x v="1"/>
  </r>
  <r>
    <x v="2155"/>
    <x v="6"/>
    <x v="0"/>
    <n v="78.5"/>
    <n v="78.5"/>
    <x v="78"/>
    <d v="2025-03-21T00:00:00"/>
    <x v="1"/>
    <x v="1"/>
    <x v="0"/>
    <x v="0"/>
    <x v="6"/>
    <x v="3"/>
    <x v="11"/>
    <x v="1"/>
  </r>
  <r>
    <x v="2156"/>
    <x v="4"/>
    <x v="9"/>
    <n v="49.7"/>
    <n v="248.5"/>
    <x v="78"/>
    <d v="2025-03-22T00:00:00"/>
    <x v="2"/>
    <x v="0"/>
    <x v="0"/>
    <x v="0"/>
    <x v="6"/>
    <x v="1"/>
    <x v="11"/>
    <x v="2"/>
  </r>
  <r>
    <x v="2157"/>
    <x v="1"/>
    <x v="12"/>
    <n v="68.400000000000006"/>
    <n v="273.60000000000002"/>
    <x v="78"/>
    <d v="2025-03-21T00:00:00"/>
    <x v="2"/>
    <x v="2"/>
    <x v="2"/>
    <x v="0"/>
    <x v="7"/>
    <x v="3"/>
    <x v="11"/>
    <x v="2"/>
  </r>
  <r>
    <x v="2158"/>
    <x v="3"/>
    <x v="1"/>
    <n v="72.900000000000006"/>
    <n v="145.80000000000001"/>
    <x v="78"/>
    <d v="2025-03-23T00:00:00"/>
    <x v="0"/>
    <x v="0"/>
    <x v="2"/>
    <x v="0"/>
    <x v="7"/>
    <x v="2"/>
    <x v="11"/>
    <x v="0"/>
  </r>
  <r>
    <x v="2159"/>
    <x v="5"/>
    <x v="15"/>
    <n v="30.3"/>
    <n v="393.90000000000003"/>
    <x v="78"/>
    <d v="2025-03-21T00:00:00"/>
    <x v="1"/>
    <x v="4"/>
    <x v="0"/>
    <x v="0"/>
    <x v="7"/>
    <x v="3"/>
    <x v="11"/>
    <x v="1"/>
  </r>
  <r>
    <x v="2160"/>
    <x v="6"/>
    <x v="5"/>
    <n v="57.9"/>
    <n v="636.9"/>
    <x v="78"/>
    <d v="2025-03-21T00:00:00"/>
    <x v="2"/>
    <x v="0"/>
    <x v="0"/>
    <x v="0"/>
    <x v="8"/>
    <x v="3"/>
    <x v="11"/>
    <x v="2"/>
  </r>
  <r>
    <x v="2161"/>
    <x v="1"/>
    <x v="0"/>
    <n v="96.7"/>
    <n v="96.7"/>
    <x v="78"/>
    <d v="2025-03-21T00:00:00"/>
    <x v="1"/>
    <x v="0"/>
    <x v="0"/>
    <x v="0"/>
    <x v="8"/>
    <x v="3"/>
    <x v="11"/>
    <x v="1"/>
  </r>
  <r>
    <x v="2162"/>
    <x v="8"/>
    <x v="4"/>
    <n v="27.6"/>
    <n v="331.20000000000005"/>
    <x v="78"/>
    <d v="2025-03-22T00:00:00"/>
    <x v="1"/>
    <x v="2"/>
    <x v="2"/>
    <x v="0"/>
    <x v="8"/>
    <x v="1"/>
    <x v="11"/>
    <x v="1"/>
  </r>
  <r>
    <x v="2163"/>
    <x v="6"/>
    <x v="12"/>
    <n v="64.7"/>
    <n v="258.8"/>
    <x v="78"/>
    <d v="2025-03-20T00:00:00"/>
    <x v="1"/>
    <x v="3"/>
    <x v="2"/>
    <x v="0"/>
    <x v="8"/>
    <x v="7"/>
    <x v="11"/>
    <x v="1"/>
  </r>
  <r>
    <x v="2164"/>
    <x v="10"/>
    <x v="13"/>
    <n v="30.5"/>
    <n v="183"/>
    <x v="78"/>
    <d v="2025-03-21T00:00:00"/>
    <x v="1"/>
    <x v="4"/>
    <x v="0"/>
    <x v="0"/>
    <x v="8"/>
    <x v="3"/>
    <x v="11"/>
    <x v="1"/>
  </r>
  <r>
    <x v="2165"/>
    <x v="6"/>
    <x v="47"/>
    <n v="106"/>
    <n v="7420"/>
    <x v="79"/>
    <d v="2025-03-23T00:00:00"/>
    <x v="1"/>
    <x v="4"/>
    <x v="2"/>
    <x v="0"/>
    <x v="8"/>
    <x v="1"/>
    <x v="11"/>
    <x v="1"/>
  </r>
  <r>
    <x v="2166"/>
    <x v="12"/>
    <x v="9"/>
    <n v="76.8"/>
    <n v="384"/>
    <x v="79"/>
    <d v="2025-03-27T00:00:00"/>
    <x v="0"/>
    <x v="1"/>
    <x v="1"/>
    <x v="0"/>
    <x v="18"/>
    <x v="4"/>
    <x v="11"/>
    <x v="0"/>
  </r>
  <r>
    <x v="2167"/>
    <x v="6"/>
    <x v="1"/>
    <n v="80.400000000000006"/>
    <n v="160.80000000000001"/>
    <x v="79"/>
    <d v="2025-03-22T00:00:00"/>
    <x v="2"/>
    <x v="2"/>
    <x v="0"/>
    <x v="0"/>
    <x v="13"/>
    <x v="3"/>
    <x v="11"/>
    <x v="2"/>
  </r>
  <r>
    <x v="2168"/>
    <x v="6"/>
    <x v="12"/>
    <n v="69.099999999999994"/>
    <n v="276.39999999999998"/>
    <x v="79"/>
    <d v="2025-03-22T00:00:00"/>
    <x v="1"/>
    <x v="1"/>
    <x v="2"/>
    <x v="0"/>
    <x v="21"/>
    <x v="3"/>
    <x v="11"/>
    <x v="1"/>
  </r>
  <r>
    <x v="2169"/>
    <x v="18"/>
    <x v="1"/>
    <n v="76.400000000000006"/>
    <n v="152.80000000000001"/>
    <x v="79"/>
    <d v="2025-03-21T00:00:00"/>
    <x v="1"/>
    <x v="3"/>
    <x v="0"/>
    <x v="0"/>
    <x v="21"/>
    <x v="7"/>
    <x v="11"/>
    <x v="1"/>
  </r>
  <r>
    <x v="2170"/>
    <x v="2"/>
    <x v="1"/>
    <n v="61.3"/>
    <n v="122.6"/>
    <x v="79"/>
    <d v="2025-03-22T00:00:00"/>
    <x v="2"/>
    <x v="1"/>
    <x v="1"/>
    <x v="0"/>
    <x v="21"/>
    <x v="3"/>
    <x v="11"/>
    <x v="2"/>
  </r>
  <r>
    <x v="2171"/>
    <x v="7"/>
    <x v="0"/>
    <n v="58"/>
    <n v="58"/>
    <x v="79"/>
    <d v="2025-03-22T00:00:00"/>
    <x v="1"/>
    <x v="3"/>
    <x v="1"/>
    <x v="0"/>
    <x v="1"/>
    <x v="3"/>
    <x v="11"/>
    <x v="1"/>
  </r>
  <r>
    <x v="2172"/>
    <x v="2"/>
    <x v="8"/>
    <n v="102.3"/>
    <n v="818.4"/>
    <x v="79"/>
    <d v="2025-03-23T00:00:00"/>
    <x v="1"/>
    <x v="2"/>
    <x v="0"/>
    <x v="0"/>
    <x v="42"/>
    <x v="1"/>
    <x v="11"/>
    <x v="1"/>
  </r>
  <r>
    <x v="2173"/>
    <x v="19"/>
    <x v="1"/>
    <n v="13.8"/>
    <n v="27.6"/>
    <x v="79"/>
    <d v="2025-03-22T00:00:00"/>
    <x v="2"/>
    <x v="4"/>
    <x v="2"/>
    <x v="0"/>
    <x v="2"/>
    <x v="3"/>
    <x v="11"/>
    <x v="2"/>
  </r>
  <r>
    <x v="2174"/>
    <x v="8"/>
    <x v="2"/>
    <n v="33.299999999999997"/>
    <n v="99.899999999999991"/>
    <x v="79"/>
    <d v="2025-03-24T00:00:00"/>
    <x v="2"/>
    <x v="2"/>
    <x v="0"/>
    <x v="0"/>
    <x v="22"/>
    <x v="2"/>
    <x v="11"/>
    <x v="2"/>
  </r>
  <r>
    <x v="2175"/>
    <x v="10"/>
    <x v="0"/>
    <n v="27.4"/>
    <n v="27.4"/>
    <x v="79"/>
    <d v="2025-03-24T00:00:00"/>
    <x v="1"/>
    <x v="0"/>
    <x v="2"/>
    <x v="0"/>
    <x v="22"/>
    <x v="2"/>
    <x v="11"/>
    <x v="1"/>
  </r>
  <r>
    <x v="2176"/>
    <x v="14"/>
    <x v="1"/>
    <n v="25.6"/>
    <n v="51.2"/>
    <x v="79"/>
    <d v="2025-03-22T00:00:00"/>
    <x v="2"/>
    <x v="1"/>
    <x v="1"/>
    <x v="0"/>
    <x v="3"/>
    <x v="3"/>
    <x v="11"/>
    <x v="2"/>
  </r>
  <r>
    <x v="2177"/>
    <x v="13"/>
    <x v="0"/>
    <n v="58.4"/>
    <n v="58.4"/>
    <x v="79"/>
    <d v="2025-03-22T00:00:00"/>
    <x v="2"/>
    <x v="2"/>
    <x v="2"/>
    <x v="0"/>
    <x v="3"/>
    <x v="3"/>
    <x v="11"/>
    <x v="2"/>
  </r>
  <r>
    <x v="2178"/>
    <x v="11"/>
    <x v="17"/>
    <n v="27"/>
    <n v="810"/>
    <x v="79"/>
    <d v="2025-03-22T00:00:00"/>
    <x v="2"/>
    <x v="4"/>
    <x v="0"/>
    <x v="0"/>
    <x v="3"/>
    <x v="3"/>
    <x v="11"/>
    <x v="2"/>
  </r>
  <r>
    <x v="2179"/>
    <x v="0"/>
    <x v="12"/>
    <n v="14.2"/>
    <n v="56.8"/>
    <x v="79"/>
    <d v="2025-03-22T00:00:00"/>
    <x v="1"/>
    <x v="0"/>
    <x v="2"/>
    <x v="0"/>
    <x v="3"/>
    <x v="3"/>
    <x v="11"/>
    <x v="1"/>
  </r>
  <r>
    <x v="2180"/>
    <x v="7"/>
    <x v="1"/>
    <n v="68"/>
    <n v="136"/>
    <x v="79"/>
    <d v="2025-03-31T00:00:00"/>
    <x v="1"/>
    <x v="2"/>
    <x v="1"/>
    <x v="0"/>
    <x v="3"/>
    <x v="14"/>
    <x v="11"/>
    <x v="1"/>
  </r>
  <r>
    <x v="2181"/>
    <x v="8"/>
    <x v="0"/>
    <n v="30.7"/>
    <n v="30.7"/>
    <x v="79"/>
    <d v="2025-03-22T00:00:00"/>
    <x v="1"/>
    <x v="0"/>
    <x v="0"/>
    <x v="0"/>
    <x v="3"/>
    <x v="3"/>
    <x v="11"/>
    <x v="1"/>
  </r>
  <r>
    <x v="2182"/>
    <x v="17"/>
    <x v="15"/>
    <n v="51.6"/>
    <n v="670.80000000000007"/>
    <x v="79"/>
    <d v="2025-03-24T00:00:00"/>
    <x v="3"/>
    <x v="1"/>
    <x v="2"/>
    <x v="0"/>
    <x v="3"/>
    <x v="2"/>
    <x v="11"/>
    <x v="3"/>
  </r>
  <r>
    <x v="2183"/>
    <x v="8"/>
    <x v="2"/>
    <n v="20.6"/>
    <n v="61.800000000000004"/>
    <x v="79"/>
    <d v="2025-03-25T00:00:00"/>
    <x v="2"/>
    <x v="4"/>
    <x v="2"/>
    <x v="0"/>
    <x v="3"/>
    <x v="5"/>
    <x v="11"/>
    <x v="2"/>
  </r>
  <r>
    <x v="2184"/>
    <x v="8"/>
    <x v="0"/>
    <n v="24.8"/>
    <n v="24.8"/>
    <x v="79"/>
    <d v="2025-03-22T00:00:00"/>
    <x v="1"/>
    <x v="4"/>
    <x v="0"/>
    <x v="0"/>
    <x v="3"/>
    <x v="3"/>
    <x v="11"/>
    <x v="1"/>
  </r>
  <r>
    <x v="2185"/>
    <x v="0"/>
    <x v="3"/>
    <n v="11.2"/>
    <n v="78.399999999999991"/>
    <x v="79"/>
    <d v="2025-03-24T00:00:00"/>
    <x v="1"/>
    <x v="1"/>
    <x v="0"/>
    <x v="0"/>
    <x v="3"/>
    <x v="2"/>
    <x v="11"/>
    <x v="1"/>
  </r>
  <r>
    <x v="2186"/>
    <x v="11"/>
    <x v="1"/>
    <n v="51.2"/>
    <n v="102.4"/>
    <x v="79"/>
    <d v="2025-03-22T00:00:00"/>
    <x v="2"/>
    <x v="1"/>
    <x v="2"/>
    <x v="0"/>
    <x v="3"/>
    <x v="3"/>
    <x v="11"/>
    <x v="2"/>
  </r>
  <r>
    <x v="2187"/>
    <x v="7"/>
    <x v="13"/>
    <n v="90.5"/>
    <n v="543"/>
    <x v="79"/>
    <d v="2025-03-22T00:00:00"/>
    <x v="2"/>
    <x v="1"/>
    <x v="4"/>
    <x v="0"/>
    <x v="3"/>
    <x v="3"/>
    <x v="11"/>
    <x v="2"/>
  </r>
  <r>
    <x v="2188"/>
    <x v="1"/>
    <x v="1"/>
    <n v="42.4"/>
    <n v="84.8"/>
    <x v="79"/>
    <d v="2025-03-22T00:00:00"/>
    <x v="1"/>
    <x v="1"/>
    <x v="2"/>
    <x v="0"/>
    <x v="4"/>
    <x v="3"/>
    <x v="11"/>
    <x v="1"/>
  </r>
  <r>
    <x v="2189"/>
    <x v="1"/>
    <x v="1"/>
    <n v="38.200000000000003"/>
    <n v="76.400000000000006"/>
    <x v="79"/>
    <d v="2025-03-22T00:00:00"/>
    <x v="1"/>
    <x v="0"/>
    <x v="0"/>
    <x v="0"/>
    <x v="5"/>
    <x v="3"/>
    <x v="11"/>
    <x v="1"/>
  </r>
  <r>
    <x v="2190"/>
    <x v="2"/>
    <x v="11"/>
    <n v="121.3"/>
    <n v="1091.7"/>
    <x v="79"/>
    <d v="2025-03-26T00:00:00"/>
    <x v="1"/>
    <x v="0"/>
    <x v="0"/>
    <x v="0"/>
    <x v="6"/>
    <x v="0"/>
    <x v="11"/>
    <x v="1"/>
  </r>
  <r>
    <x v="2191"/>
    <x v="6"/>
    <x v="1"/>
    <n v="46.9"/>
    <n v="93.8"/>
    <x v="79"/>
    <d v="2025-03-28T00:00:00"/>
    <x v="1"/>
    <x v="0"/>
    <x v="0"/>
    <x v="0"/>
    <x v="8"/>
    <x v="6"/>
    <x v="11"/>
    <x v="1"/>
  </r>
  <r>
    <x v="2192"/>
    <x v="10"/>
    <x v="0"/>
    <n v="55.3"/>
    <n v="55.3"/>
    <x v="79"/>
    <d v="2025-03-23T00:00:00"/>
    <x v="1"/>
    <x v="0"/>
    <x v="0"/>
    <x v="0"/>
    <x v="8"/>
    <x v="1"/>
    <x v="11"/>
    <x v="1"/>
  </r>
  <r>
    <x v="2193"/>
    <x v="2"/>
    <x v="2"/>
    <n v="70.599999999999994"/>
    <n v="211.79999999999998"/>
    <x v="80"/>
    <d v="2025-03-22T00:00:00"/>
    <x v="2"/>
    <x v="0"/>
    <x v="1"/>
    <x v="0"/>
    <x v="8"/>
    <x v="7"/>
    <x v="11"/>
    <x v="2"/>
  </r>
  <r>
    <x v="2194"/>
    <x v="14"/>
    <x v="12"/>
    <n v="26.1"/>
    <n v="104.4"/>
    <x v="80"/>
    <d v="2025-03-24T00:00:00"/>
    <x v="1"/>
    <x v="0"/>
    <x v="0"/>
    <x v="0"/>
    <x v="8"/>
    <x v="1"/>
    <x v="11"/>
    <x v="1"/>
  </r>
  <r>
    <x v="2195"/>
    <x v="9"/>
    <x v="5"/>
    <n v="34.5"/>
    <n v="379.5"/>
    <x v="80"/>
    <d v="2025-03-26T00:00:00"/>
    <x v="1"/>
    <x v="2"/>
    <x v="0"/>
    <x v="0"/>
    <x v="17"/>
    <x v="5"/>
    <x v="11"/>
    <x v="1"/>
  </r>
  <r>
    <x v="2196"/>
    <x v="1"/>
    <x v="1"/>
    <n v="64.2"/>
    <n v="128.4"/>
    <x v="80"/>
    <d v="2025-03-23T00:00:00"/>
    <x v="2"/>
    <x v="0"/>
    <x v="1"/>
    <x v="0"/>
    <x v="17"/>
    <x v="3"/>
    <x v="11"/>
    <x v="2"/>
  </r>
  <r>
    <x v="2197"/>
    <x v="2"/>
    <x v="12"/>
    <n v="145.69999999999999"/>
    <n v="582.79999999999995"/>
    <x v="80"/>
    <d v="2025-03-23T00:00:00"/>
    <x v="2"/>
    <x v="0"/>
    <x v="4"/>
    <x v="0"/>
    <x v="17"/>
    <x v="3"/>
    <x v="11"/>
    <x v="2"/>
  </r>
  <r>
    <x v="2198"/>
    <x v="12"/>
    <x v="1"/>
    <n v="78.5"/>
    <n v="157"/>
    <x v="80"/>
    <d v="2025-03-23T00:00:00"/>
    <x v="1"/>
    <x v="2"/>
    <x v="0"/>
    <x v="0"/>
    <x v="26"/>
    <x v="3"/>
    <x v="11"/>
    <x v="1"/>
  </r>
  <r>
    <x v="2199"/>
    <x v="1"/>
    <x v="0"/>
    <n v="34.200000000000003"/>
    <n v="34.200000000000003"/>
    <x v="80"/>
    <d v="2025-03-24T00:00:00"/>
    <x v="1"/>
    <x v="0"/>
    <x v="0"/>
    <x v="0"/>
    <x v="9"/>
    <x v="1"/>
    <x v="11"/>
    <x v="1"/>
  </r>
  <r>
    <x v="2200"/>
    <x v="19"/>
    <x v="0"/>
    <n v="26.2"/>
    <n v="26.2"/>
    <x v="80"/>
    <d v="2025-03-23T00:00:00"/>
    <x v="1"/>
    <x v="2"/>
    <x v="0"/>
    <x v="0"/>
    <x v="9"/>
    <x v="3"/>
    <x v="11"/>
    <x v="1"/>
  </r>
  <r>
    <x v="2201"/>
    <x v="6"/>
    <x v="12"/>
    <n v="53.2"/>
    <n v="212.8"/>
    <x v="80"/>
    <d v="2025-03-23T00:00:00"/>
    <x v="1"/>
    <x v="1"/>
    <x v="1"/>
    <x v="0"/>
    <x v="11"/>
    <x v="3"/>
    <x v="11"/>
    <x v="1"/>
  </r>
  <r>
    <x v="2202"/>
    <x v="1"/>
    <x v="0"/>
    <n v="35.4"/>
    <n v="35.4"/>
    <x v="80"/>
    <d v="2025-03-26T00:00:00"/>
    <x v="1"/>
    <x v="1"/>
    <x v="4"/>
    <x v="0"/>
    <x v="18"/>
    <x v="5"/>
    <x v="11"/>
    <x v="1"/>
  </r>
  <r>
    <x v="2203"/>
    <x v="14"/>
    <x v="1"/>
    <n v="21.3"/>
    <n v="42.6"/>
    <x v="80"/>
    <d v="2025-03-23T00:00:00"/>
    <x v="1"/>
    <x v="2"/>
    <x v="0"/>
    <x v="0"/>
    <x v="20"/>
    <x v="3"/>
    <x v="11"/>
    <x v="1"/>
  </r>
  <r>
    <x v="2204"/>
    <x v="8"/>
    <x v="12"/>
    <n v="32.9"/>
    <n v="131.6"/>
    <x v="80"/>
    <d v="2025-03-25T00:00:00"/>
    <x v="2"/>
    <x v="4"/>
    <x v="2"/>
    <x v="0"/>
    <x v="21"/>
    <x v="2"/>
    <x v="11"/>
    <x v="2"/>
  </r>
  <r>
    <x v="2205"/>
    <x v="5"/>
    <x v="20"/>
    <n v="85.5"/>
    <n v="1282.5"/>
    <x v="80"/>
    <d v="2025-03-24T00:00:00"/>
    <x v="2"/>
    <x v="3"/>
    <x v="1"/>
    <x v="0"/>
    <x v="21"/>
    <x v="1"/>
    <x v="11"/>
    <x v="2"/>
  </r>
  <r>
    <x v="2206"/>
    <x v="4"/>
    <x v="0"/>
    <n v="26.8"/>
    <n v="26.8"/>
    <x v="80"/>
    <d v="2025-03-23T00:00:00"/>
    <x v="2"/>
    <x v="0"/>
    <x v="1"/>
    <x v="0"/>
    <x v="2"/>
    <x v="3"/>
    <x v="11"/>
    <x v="2"/>
  </r>
  <r>
    <x v="2207"/>
    <x v="9"/>
    <x v="18"/>
    <n v="31.7"/>
    <n v="824.19999999999993"/>
    <x v="80"/>
    <d v="2025-03-22T00:00:00"/>
    <x v="2"/>
    <x v="3"/>
    <x v="0"/>
    <x v="0"/>
    <x v="2"/>
    <x v="7"/>
    <x v="11"/>
    <x v="2"/>
  </r>
  <r>
    <x v="2208"/>
    <x v="1"/>
    <x v="1"/>
    <n v="78.3"/>
    <n v="156.6"/>
    <x v="80"/>
    <d v="2025-03-24T00:00:00"/>
    <x v="2"/>
    <x v="1"/>
    <x v="1"/>
    <x v="0"/>
    <x v="3"/>
    <x v="1"/>
    <x v="11"/>
    <x v="2"/>
  </r>
  <r>
    <x v="2209"/>
    <x v="6"/>
    <x v="0"/>
    <n v="43.9"/>
    <n v="43.9"/>
    <x v="80"/>
    <d v="2025-03-23T00:00:00"/>
    <x v="1"/>
    <x v="0"/>
    <x v="0"/>
    <x v="0"/>
    <x v="3"/>
    <x v="3"/>
    <x v="11"/>
    <x v="1"/>
  </r>
  <r>
    <x v="2210"/>
    <x v="18"/>
    <x v="2"/>
    <n v="84"/>
    <n v="252"/>
    <x v="80"/>
    <d v="2025-03-24T00:00:00"/>
    <x v="0"/>
    <x v="3"/>
    <x v="2"/>
    <x v="0"/>
    <x v="3"/>
    <x v="1"/>
    <x v="11"/>
    <x v="0"/>
  </r>
  <r>
    <x v="2211"/>
    <x v="0"/>
    <x v="2"/>
    <n v="11.4"/>
    <n v="34.200000000000003"/>
    <x v="80"/>
    <d v="2025-03-23T00:00:00"/>
    <x v="1"/>
    <x v="4"/>
    <x v="0"/>
    <x v="0"/>
    <x v="3"/>
    <x v="3"/>
    <x v="11"/>
    <x v="1"/>
  </r>
  <r>
    <x v="2212"/>
    <x v="12"/>
    <x v="8"/>
    <n v="47.5"/>
    <n v="380"/>
    <x v="80"/>
    <d v="2025-03-30T00:00:00"/>
    <x v="2"/>
    <x v="0"/>
    <x v="0"/>
    <x v="0"/>
    <x v="3"/>
    <x v="9"/>
    <x v="11"/>
    <x v="2"/>
  </r>
  <r>
    <x v="2213"/>
    <x v="9"/>
    <x v="5"/>
    <n v="50.5"/>
    <n v="555.5"/>
    <x v="80"/>
    <d v="2025-03-24T00:00:00"/>
    <x v="1"/>
    <x v="2"/>
    <x v="0"/>
    <x v="0"/>
    <x v="3"/>
    <x v="1"/>
    <x v="11"/>
    <x v="1"/>
  </r>
  <r>
    <x v="2214"/>
    <x v="15"/>
    <x v="0"/>
    <n v="36.299999999999997"/>
    <n v="36.299999999999997"/>
    <x v="80"/>
    <d v="2025-03-25T00:00:00"/>
    <x v="3"/>
    <x v="0"/>
    <x v="1"/>
    <x v="0"/>
    <x v="8"/>
    <x v="2"/>
    <x v="11"/>
    <x v="3"/>
  </r>
  <r>
    <x v="2215"/>
    <x v="8"/>
    <x v="1"/>
    <n v="35.4"/>
    <n v="70.8"/>
    <x v="80"/>
    <d v="2025-03-23T00:00:00"/>
    <x v="2"/>
    <x v="0"/>
    <x v="0"/>
    <x v="0"/>
    <x v="17"/>
    <x v="3"/>
    <x v="11"/>
    <x v="2"/>
  </r>
  <r>
    <x v="2216"/>
    <x v="1"/>
    <x v="2"/>
    <n v="45.9"/>
    <n v="137.69999999999999"/>
    <x v="81"/>
    <d v="2025-03-24T00:00:00"/>
    <x v="1"/>
    <x v="3"/>
    <x v="0"/>
    <x v="0"/>
    <x v="9"/>
    <x v="3"/>
    <x v="12"/>
    <x v="1"/>
  </r>
  <r>
    <x v="2217"/>
    <x v="6"/>
    <x v="7"/>
    <n v="41.2"/>
    <n v="412"/>
    <x v="81"/>
    <d v="2025-03-27T00:00:00"/>
    <x v="1"/>
    <x v="0"/>
    <x v="0"/>
    <x v="0"/>
    <x v="11"/>
    <x v="5"/>
    <x v="12"/>
    <x v="1"/>
  </r>
  <r>
    <x v="2218"/>
    <x v="17"/>
    <x v="1"/>
    <n v="45.1"/>
    <n v="90.2"/>
    <x v="81"/>
    <d v="2025-03-24T00:00:00"/>
    <x v="1"/>
    <x v="1"/>
    <x v="1"/>
    <x v="0"/>
    <x v="21"/>
    <x v="3"/>
    <x v="12"/>
    <x v="1"/>
  </r>
  <r>
    <x v="2219"/>
    <x v="6"/>
    <x v="7"/>
    <n v="63.6"/>
    <n v="636"/>
    <x v="81"/>
    <d v="2025-03-23T00:00:00"/>
    <x v="1"/>
    <x v="2"/>
    <x v="0"/>
    <x v="0"/>
    <x v="1"/>
    <x v="7"/>
    <x v="12"/>
    <x v="1"/>
  </r>
  <r>
    <x v="2220"/>
    <x v="8"/>
    <x v="0"/>
    <n v="70.5"/>
    <n v="70.5"/>
    <x v="81"/>
    <d v="2025-03-24T00:00:00"/>
    <x v="1"/>
    <x v="0"/>
    <x v="0"/>
    <x v="0"/>
    <x v="3"/>
    <x v="3"/>
    <x v="12"/>
    <x v="1"/>
  </r>
  <r>
    <x v="2221"/>
    <x v="6"/>
    <x v="0"/>
    <n v="41.3"/>
    <n v="41.3"/>
    <x v="81"/>
    <d v="2025-03-23T00:00:00"/>
    <x v="1"/>
    <x v="4"/>
    <x v="0"/>
    <x v="0"/>
    <x v="3"/>
    <x v="7"/>
    <x v="12"/>
    <x v="1"/>
  </r>
  <r>
    <x v="2222"/>
    <x v="4"/>
    <x v="0"/>
    <n v="35.299999999999997"/>
    <n v="35.299999999999997"/>
    <x v="81"/>
    <d v="2025-03-26T00:00:00"/>
    <x v="2"/>
    <x v="4"/>
    <x v="2"/>
    <x v="0"/>
    <x v="3"/>
    <x v="2"/>
    <x v="12"/>
    <x v="2"/>
  </r>
  <r>
    <x v="2223"/>
    <x v="8"/>
    <x v="9"/>
    <n v="34.700000000000003"/>
    <n v="173.5"/>
    <x v="81"/>
    <d v="2025-03-24T00:00:00"/>
    <x v="2"/>
    <x v="0"/>
    <x v="2"/>
    <x v="0"/>
    <x v="3"/>
    <x v="3"/>
    <x v="12"/>
    <x v="2"/>
  </r>
  <r>
    <x v="2224"/>
    <x v="8"/>
    <x v="2"/>
    <n v="26.1"/>
    <n v="78.300000000000011"/>
    <x v="81"/>
    <d v="2025-03-24T00:00:00"/>
    <x v="2"/>
    <x v="0"/>
    <x v="0"/>
    <x v="0"/>
    <x v="3"/>
    <x v="3"/>
    <x v="12"/>
    <x v="2"/>
  </r>
  <r>
    <x v="2225"/>
    <x v="9"/>
    <x v="9"/>
    <n v="22.6"/>
    <n v="113"/>
    <x v="81"/>
    <d v="2025-03-23T00:00:00"/>
    <x v="2"/>
    <x v="1"/>
    <x v="2"/>
    <x v="0"/>
    <x v="3"/>
    <x v="7"/>
    <x v="12"/>
    <x v="2"/>
  </r>
  <r>
    <x v="2226"/>
    <x v="2"/>
    <x v="1"/>
    <n v="154.4"/>
    <n v="308.8"/>
    <x v="81"/>
    <d v="2025-03-26T00:00:00"/>
    <x v="1"/>
    <x v="1"/>
    <x v="1"/>
    <x v="0"/>
    <x v="3"/>
    <x v="2"/>
    <x v="12"/>
    <x v="1"/>
  </r>
  <r>
    <x v="2227"/>
    <x v="8"/>
    <x v="1"/>
    <n v="18.399999999999999"/>
    <n v="36.799999999999997"/>
    <x v="81"/>
    <d v="2025-03-24T00:00:00"/>
    <x v="1"/>
    <x v="0"/>
    <x v="0"/>
    <x v="0"/>
    <x v="3"/>
    <x v="3"/>
    <x v="12"/>
    <x v="1"/>
  </r>
  <r>
    <x v="2228"/>
    <x v="14"/>
    <x v="0"/>
    <n v="25"/>
    <n v="25"/>
    <x v="81"/>
    <d v="2025-03-26T00:00:00"/>
    <x v="2"/>
    <x v="0"/>
    <x v="0"/>
    <x v="0"/>
    <x v="3"/>
    <x v="2"/>
    <x v="12"/>
    <x v="2"/>
  </r>
  <r>
    <x v="2229"/>
    <x v="2"/>
    <x v="13"/>
    <n v="105.6"/>
    <n v="633.59999999999991"/>
    <x v="81"/>
    <d v="2025-03-23T00:00:00"/>
    <x v="2"/>
    <x v="0"/>
    <x v="0"/>
    <x v="0"/>
    <x v="3"/>
    <x v="7"/>
    <x v="12"/>
    <x v="2"/>
  </r>
  <r>
    <x v="2230"/>
    <x v="18"/>
    <x v="8"/>
    <n v="59.6"/>
    <n v="476.8"/>
    <x v="81"/>
    <d v="2025-03-23T00:00:00"/>
    <x v="2"/>
    <x v="0"/>
    <x v="2"/>
    <x v="0"/>
    <x v="23"/>
    <x v="7"/>
    <x v="12"/>
    <x v="2"/>
  </r>
  <r>
    <x v="2231"/>
    <x v="15"/>
    <x v="2"/>
    <n v="75.400000000000006"/>
    <n v="226.20000000000002"/>
    <x v="81"/>
    <d v="2025-03-28T00:00:00"/>
    <x v="1"/>
    <x v="0"/>
    <x v="1"/>
    <x v="0"/>
    <x v="7"/>
    <x v="0"/>
    <x v="12"/>
    <x v="1"/>
  </r>
  <r>
    <x v="2232"/>
    <x v="7"/>
    <x v="0"/>
    <n v="104.4"/>
    <n v="104.4"/>
    <x v="81"/>
    <d v="2025-03-24T00:00:00"/>
    <x v="2"/>
    <x v="0"/>
    <x v="0"/>
    <x v="0"/>
    <x v="8"/>
    <x v="3"/>
    <x v="12"/>
    <x v="2"/>
  </r>
  <r>
    <x v="2233"/>
    <x v="2"/>
    <x v="7"/>
    <n v="208.2"/>
    <n v="2082"/>
    <x v="81"/>
    <d v="2025-03-24T00:00:00"/>
    <x v="1"/>
    <x v="0"/>
    <x v="2"/>
    <x v="0"/>
    <x v="8"/>
    <x v="3"/>
    <x v="12"/>
    <x v="1"/>
  </r>
  <r>
    <x v="2234"/>
    <x v="6"/>
    <x v="1"/>
    <n v="45"/>
    <n v="90"/>
    <x v="81"/>
    <d v="2025-03-26T00:00:00"/>
    <x v="2"/>
    <x v="0"/>
    <x v="0"/>
    <x v="0"/>
    <x v="10"/>
    <x v="2"/>
    <x v="12"/>
    <x v="2"/>
  </r>
  <r>
    <x v="2235"/>
    <x v="15"/>
    <x v="1"/>
    <n v="20.3"/>
    <n v="40.6"/>
    <x v="82"/>
    <d v="2025-03-26T00:00:00"/>
    <x v="0"/>
    <x v="1"/>
    <x v="0"/>
    <x v="0"/>
    <x v="11"/>
    <x v="1"/>
    <x v="12"/>
    <x v="0"/>
  </r>
  <r>
    <x v="2236"/>
    <x v="2"/>
    <x v="2"/>
    <n v="94.4"/>
    <n v="283.20000000000005"/>
    <x v="82"/>
    <d v="2025-03-25T00:00:00"/>
    <x v="2"/>
    <x v="0"/>
    <x v="2"/>
    <x v="0"/>
    <x v="11"/>
    <x v="3"/>
    <x v="12"/>
    <x v="2"/>
  </r>
  <r>
    <x v="2237"/>
    <x v="9"/>
    <x v="0"/>
    <n v="49"/>
    <n v="49"/>
    <x v="82"/>
    <d v="2025-03-26T00:00:00"/>
    <x v="2"/>
    <x v="0"/>
    <x v="2"/>
    <x v="0"/>
    <x v="20"/>
    <x v="1"/>
    <x v="12"/>
    <x v="2"/>
  </r>
  <r>
    <x v="2238"/>
    <x v="4"/>
    <x v="1"/>
    <n v="27.2"/>
    <n v="54.4"/>
    <x v="82"/>
    <d v="2025-03-26T00:00:00"/>
    <x v="1"/>
    <x v="0"/>
    <x v="2"/>
    <x v="0"/>
    <x v="1"/>
    <x v="1"/>
    <x v="12"/>
    <x v="1"/>
  </r>
  <r>
    <x v="2239"/>
    <x v="2"/>
    <x v="13"/>
    <n v="72.599999999999994"/>
    <n v="435.59999999999997"/>
    <x v="82"/>
    <d v="2025-03-25T00:00:00"/>
    <x v="2"/>
    <x v="0"/>
    <x v="2"/>
    <x v="0"/>
    <x v="2"/>
    <x v="3"/>
    <x v="12"/>
    <x v="2"/>
  </r>
  <r>
    <x v="2240"/>
    <x v="15"/>
    <x v="12"/>
    <n v="62.4"/>
    <n v="249.6"/>
    <x v="82"/>
    <d v="2025-03-25T00:00:00"/>
    <x v="2"/>
    <x v="0"/>
    <x v="0"/>
    <x v="0"/>
    <x v="3"/>
    <x v="3"/>
    <x v="12"/>
    <x v="2"/>
  </r>
  <r>
    <x v="2241"/>
    <x v="8"/>
    <x v="2"/>
    <n v="19.100000000000001"/>
    <n v="57.300000000000004"/>
    <x v="82"/>
    <d v="2025-03-26T00:00:00"/>
    <x v="1"/>
    <x v="0"/>
    <x v="1"/>
    <x v="0"/>
    <x v="3"/>
    <x v="1"/>
    <x v="12"/>
    <x v="1"/>
  </r>
  <r>
    <x v="2242"/>
    <x v="10"/>
    <x v="0"/>
    <n v="29.6"/>
    <n v="29.6"/>
    <x v="82"/>
    <d v="2025-03-28T00:00:00"/>
    <x v="1"/>
    <x v="0"/>
    <x v="4"/>
    <x v="0"/>
    <x v="3"/>
    <x v="5"/>
    <x v="12"/>
    <x v="1"/>
  </r>
  <r>
    <x v="2243"/>
    <x v="8"/>
    <x v="1"/>
    <n v="18.899999999999999"/>
    <n v="37.799999999999997"/>
    <x v="82"/>
    <d v="2025-03-26T00:00:00"/>
    <x v="2"/>
    <x v="4"/>
    <x v="2"/>
    <x v="0"/>
    <x v="3"/>
    <x v="1"/>
    <x v="12"/>
    <x v="2"/>
  </r>
  <r>
    <x v="2244"/>
    <x v="10"/>
    <x v="9"/>
    <n v="41.4"/>
    <n v="207"/>
    <x v="82"/>
    <d v="2025-03-25T00:00:00"/>
    <x v="1"/>
    <x v="3"/>
    <x v="0"/>
    <x v="0"/>
    <x v="3"/>
    <x v="3"/>
    <x v="12"/>
    <x v="1"/>
  </r>
  <r>
    <x v="2245"/>
    <x v="2"/>
    <x v="0"/>
    <n v="118.4"/>
    <n v="118.4"/>
    <x v="82"/>
    <d v="2025-03-25T00:00:00"/>
    <x v="2"/>
    <x v="0"/>
    <x v="2"/>
    <x v="0"/>
    <x v="3"/>
    <x v="3"/>
    <x v="12"/>
    <x v="2"/>
  </r>
  <r>
    <x v="2246"/>
    <x v="2"/>
    <x v="1"/>
    <n v="125.3"/>
    <n v="250.6"/>
    <x v="82"/>
    <d v="2025-03-27T00:00:00"/>
    <x v="2"/>
    <x v="0"/>
    <x v="2"/>
    <x v="0"/>
    <x v="3"/>
    <x v="2"/>
    <x v="12"/>
    <x v="2"/>
  </r>
  <r>
    <x v="2247"/>
    <x v="3"/>
    <x v="1"/>
    <n v="85.8"/>
    <n v="171.6"/>
    <x v="82"/>
    <d v="2025-03-25T00:00:00"/>
    <x v="2"/>
    <x v="1"/>
    <x v="4"/>
    <x v="0"/>
    <x v="3"/>
    <x v="3"/>
    <x v="12"/>
    <x v="2"/>
  </r>
  <r>
    <x v="2248"/>
    <x v="6"/>
    <x v="0"/>
    <n v="44.2"/>
    <n v="44.2"/>
    <x v="82"/>
    <d v="2025-03-27T00:00:00"/>
    <x v="1"/>
    <x v="1"/>
    <x v="0"/>
    <x v="0"/>
    <x v="3"/>
    <x v="2"/>
    <x v="12"/>
    <x v="1"/>
  </r>
  <r>
    <x v="2249"/>
    <x v="5"/>
    <x v="12"/>
    <n v="74.099999999999994"/>
    <n v="296.39999999999998"/>
    <x v="82"/>
    <d v="2025-03-26T00:00:00"/>
    <x v="2"/>
    <x v="0"/>
    <x v="0"/>
    <x v="0"/>
    <x v="3"/>
    <x v="1"/>
    <x v="12"/>
    <x v="2"/>
  </r>
  <r>
    <x v="2250"/>
    <x v="8"/>
    <x v="0"/>
    <n v="33.799999999999997"/>
    <n v="33.799999999999997"/>
    <x v="82"/>
    <d v="2025-03-25T00:00:00"/>
    <x v="2"/>
    <x v="2"/>
    <x v="2"/>
    <x v="0"/>
    <x v="24"/>
    <x v="3"/>
    <x v="12"/>
    <x v="2"/>
  </r>
  <r>
    <x v="2251"/>
    <x v="1"/>
    <x v="1"/>
    <n v="39.1"/>
    <n v="78.2"/>
    <x v="82"/>
    <d v="2025-03-25T00:00:00"/>
    <x v="1"/>
    <x v="0"/>
    <x v="1"/>
    <x v="0"/>
    <x v="24"/>
    <x v="3"/>
    <x v="12"/>
    <x v="1"/>
  </r>
  <r>
    <x v="2252"/>
    <x v="0"/>
    <x v="0"/>
    <n v="37.200000000000003"/>
    <n v="37.200000000000003"/>
    <x v="82"/>
    <d v="2025-03-25T00:00:00"/>
    <x v="1"/>
    <x v="0"/>
    <x v="1"/>
    <x v="0"/>
    <x v="16"/>
    <x v="3"/>
    <x v="12"/>
    <x v="1"/>
  </r>
  <r>
    <x v="2253"/>
    <x v="15"/>
    <x v="2"/>
    <n v="33.9"/>
    <n v="101.69999999999999"/>
    <x v="82"/>
    <d v="2025-03-26T00:00:00"/>
    <x v="1"/>
    <x v="2"/>
    <x v="0"/>
    <x v="0"/>
    <x v="6"/>
    <x v="1"/>
    <x v="12"/>
    <x v="1"/>
  </r>
  <r>
    <x v="2254"/>
    <x v="7"/>
    <x v="20"/>
    <n v="73.3"/>
    <n v="1099.5"/>
    <x v="82"/>
    <d v="2025-03-27T00:00:00"/>
    <x v="2"/>
    <x v="2"/>
    <x v="1"/>
    <x v="0"/>
    <x v="8"/>
    <x v="2"/>
    <x v="12"/>
    <x v="2"/>
  </r>
  <r>
    <x v="2255"/>
    <x v="8"/>
    <x v="12"/>
    <n v="35"/>
    <n v="140"/>
    <x v="82"/>
    <d v="2025-03-26T00:00:00"/>
    <x v="2"/>
    <x v="1"/>
    <x v="0"/>
    <x v="0"/>
    <x v="8"/>
    <x v="1"/>
    <x v="12"/>
    <x v="2"/>
  </r>
  <r>
    <x v="2256"/>
    <x v="0"/>
    <x v="2"/>
    <n v="22.2"/>
    <n v="66.599999999999994"/>
    <x v="82"/>
    <d v="2025-03-25T00:00:00"/>
    <x v="1"/>
    <x v="1"/>
    <x v="0"/>
    <x v="0"/>
    <x v="17"/>
    <x v="3"/>
    <x v="12"/>
    <x v="1"/>
  </r>
  <r>
    <x v="2257"/>
    <x v="10"/>
    <x v="0"/>
    <n v="32.4"/>
    <n v="32.4"/>
    <x v="82"/>
    <d v="2025-03-25T00:00:00"/>
    <x v="2"/>
    <x v="0"/>
    <x v="0"/>
    <x v="0"/>
    <x v="11"/>
    <x v="3"/>
    <x v="12"/>
    <x v="2"/>
  </r>
  <r>
    <x v="2258"/>
    <x v="5"/>
    <x v="2"/>
    <n v="88.4"/>
    <n v="265.20000000000005"/>
    <x v="83"/>
    <d v="2025-03-27T00:00:00"/>
    <x v="2"/>
    <x v="1"/>
    <x v="1"/>
    <x v="0"/>
    <x v="11"/>
    <x v="1"/>
    <x v="12"/>
    <x v="2"/>
  </r>
  <r>
    <x v="2259"/>
    <x v="5"/>
    <x v="27"/>
    <n v="30.5"/>
    <n v="488"/>
    <x v="83"/>
    <d v="2025-03-26T00:00:00"/>
    <x v="2"/>
    <x v="2"/>
    <x v="0"/>
    <x v="0"/>
    <x v="11"/>
    <x v="3"/>
    <x v="12"/>
    <x v="2"/>
  </r>
  <r>
    <x v="2260"/>
    <x v="1"/>
    <x v="13"/>
    <n v="38.1"/>
    <n v="228.60000000000002"/>
    <x v="83"/>
    <d v="2025-03-27T00:00:00"/>
    <x v="2"/>
    <x v="0"/>
    <x v="1"/>
    <x v="0"/>
    <x v="11"/>
    <x v="1"/>
    <x v="12"/>
    <x v="2"/>
  </r>
  <r>
    <x v="2261"/>
    <x v="10"/>
    <x v="9"/>
    <n v="37.6"/>
    <n v="188"/>
    <x v="83"/>
    <d v="2025-03-29T00:00:00"/>
    <x v="1"/>
    <x v="0"/>
    <x v="0"/>
    <x v="0"/>
    <x v="11"/>
    <x v="5"/>
    <x v="12"/>
    <x v="1"/>
  </r>
  <r>
    <x v="2262"/>
    <x v="15"/>
    <x v="1"/>
    <n v="31.4"/>
    <n v="62.8"/>
    <x v="83"/>
    <d v="2025-03-26T00:00:00"/>
    <x v="1"/>
    <x v="0"/>
    <x v="2"/>
    <x v="0"/>
    <x v="11"/>
    <x v="3"/>
    <x v="12"/>
    <x v="1"/>
  </r>
  <r>
    <x v="2263"/>
    <x v="6"/>
    <x v="1"/>
    <n v="61.5"/>
    <n v="123"/>
    <x v="83"/>
    <d v="2025-03-26T00:00:00"/>
    <x v="1"/>
    <x v="3"/>
    <x v="0"/>
    <x v="0"/>
    <x v="31"/>
    <x v="3"/>
    <x v="12"/>
    <x v="1"/>
  </r>
  <r>
    <x v="2264"/>
    <x v="6"/>
    <x v="0"/>
    <n v="72.599999999999994"/>
    <n v="72.599999999999994"/>
    <x v="83"/>
    <d v="2025-03-26T00:00:00"/>
    <x v="1"/>
    <x v="0"/>
    <x v="1"/>
    <x v="0"/>
    <x v="21"/>
    <x v="3"/>
    <x v="12"/>
    <x v="1"/>
  </r>
  <r>
    <x v="2265"/>
    <x v="9"/>
    <x v="2"/>
    <n v="26.9"/>
    <n v="80.699999999999989"/>
    <x v="83"/>
    <d v="2025-03-30T00:00:00"/>
    <x v="3"/>
    <x v="4"/>
    <x v="1"/>
    <x v="0"/>
    <x v="46"/>
    <x v="0"/>
    <x v="12"/>
    <x v="3"/>
  </r>
  <r>
    <x v="2266"/>
    <x v="17"/>
    <x v="4"/>
    <n v="29.4"/>
    <n v="352.79999999999995"/>
    <x v="83"/>
    <d v="2025-03-26T00:00:00"/>
    <x v="2"/>
    <x v="1"/>
    <x v="0"/>
    <x v="0"/>
    <x v="51"/>
    <x v="3"/>
    <x v="12"/>
    <x v="2"/>
  </r>
  <r>
    <x v="2267"/>
    <x v="17"/>
    <x v="1"/>
    <n v="42.1"/>
    <n v="84.2"/>
    <x v="83"/>
    <d v="2025-03-26T00:00:00"/>
    <x v="2"/>
    <x v="3"/>
    <x v="1"/>
    <x v="0"/>
    <x v="1"/>
    <x v="3"/>
    <x v="12"/>
    <x v="2"/>
  </r>
  <r>
    <x v="2268"/>
    <x v="5"/>
    <x v="0"/>
    <n v="40.5"/>
    <n v="40.5"/>
    <x v="83"/>
    <d v="2025-03-26T00:00:00"/>
    <x v="2"/>
    <x v="2"/>
    <x v="1"/>
    <x v="0"/>
    <x v="1"/>
    <x v="3"/>
    <x v="12"/>
    <x v="2"/>
  </r>
  <r>
    <x v="2269"/>
    <x v="2"/>
    <x v="12"/>
    <n v="182.3"/>
    <n v="729.2"/>
    <x v="83"/>
    <d v="2025-03-26T00:00:00"/>
    <x v="2"/>
    <x v="1"/>
    <x v="0"/>
    <x v="0"/>
    <x v="1"/>
    <x v="3"/>
    <x v="12"/>
    <x v="2"/>
  </r>
  <r>
    <x v="2270"/>
    <x v="2"/>
    <x v="9"/>
    <n v="157"/>
    <n v="785"/>
    <x v="83"/>
    <d v="2025-03-28T00:00:00"/>
    <x v="2"/>
    <x v="1"/>
    <x v="2"/>
    <x v="0"/>
    <x v="2"/>
    <x v="2"/>
    <x v="12"/>
    <x v="2"/>
  </r>
  <r>
    <x v="2271"/>
    <x v="17"/>
    <x v="9"/>
    <n v="45.2"/>
    <n v="226"/>
    <x v="83"/>
    <d v="2025-03-28T00:00:00"/>
    <x v="2"/>
    <x v="1"/>
    <x v="0"/>
    <x v="0"/>
    <x v="22"/>
    <x v="2"/>
    <x v="12"/>
    <x v="2"/>
  </r>
  <r>
    <x v="2272"/>
    <x v="15"/>
    <x v="12"/>
    <n v="27.4"/>
    <n v="109.6"/>
    <x v="83"/>
    <d v="2025-03-27T00:00:00"/>
    <x v="2"/>
    <x v="0"/>
    <x v="0"/>
    <x v="0"/>
    <x v="3"/>
    <x v="1"/>
    <x v="12"/>
    <x v="2"/>
  </r>
  <r>
    <x v="2273"/>
    <x v="5"/>
    <x v="9"/>
    <n v="34.1"/>
    <n v="170.5"/>
    <x v="83"/>
    <d v="2025-03-27T00:00:00"/>
    <x v="1"/>
    <x v="0"/>
    <x v="2"/>
    <x v="0"/>
    <x v="3"/>
    <x v="1"/>
    <x v="12"/>
    <x v="1"/>
  </r>
  <r>
    <x v="2274"/>
    <x v="0"/>
    <x v="1"/>
    <n v="26"/>
    <n v="52"/>
    <x v="83"/>
    <d v="2025-03-27T00:00:00"/>
    <x v="1"/>
    <x v="2"/>
    <x v="1"/>
    <x v="0"/>
    <x v="3"/>
    <x v="1"/>
    <x v="12"/>
    <x v="1"/>
  </r>
  <r>
    <x v="2275"/>
    <x v="8"/>
    <x v="3"/>
    <n v="19.399999999999999"/>
    <n v="135.79999999999998"/>
    <x v="83"/>
    <d v="2025-03-27T00:00:00"/>
    <x v="0"/>
    <x v="1"/>
    <x v="1"/>
    <x v="0"/>
    <x v="3"/>
    <x v="1"/>
    <x v="12"/>
    <x v="0"/>
  </r>
  <r>
    <x v="2276"/>
    <x v="16"/>
    <x v="2"/>
    <n v="30.3"/>
    <n v="90.9"/>
    <x v="83"/>
    <d v="2025-03-28T00:00:00"/>
    <x v="2"/>
    <x v="1"/>
    <x v="2"/>
    <x v="0"/>
    <x v="3"/>
    <x v="2"/>
    <x v="12"/>
    <x v="2"/>
  </r>
  <r>
    <x v="2277"/>
    <x v="2"/>
    <x v="2"/>
    <n v="101.4"/>
    <n v="304.20000000000005"/>
    <x v="83"/>
    <d v="2025-03-26T00:00:00"/>
    <x v="1"/>
    <x v="0"/>
    <x v="0"/>
    <x v="0"/>
    <x v="3"/>
    <x v="3"/>
    <x v="12"/>
    <x v="1"/>
  </r>
  <r>
    <x v="2278"/>
    <x v="3"/>
    <x v="9"/>
    <n v="55.5"/>
    <n v="277.5"/>
    <x v="83"/>
    <d v="2025-03-28T00:00:00"/>
    <x v="1"/>
    <x v="1"/>
    <x v="0"/>
    <x v="0"/>
    <x v="24"/>
    <x v="2"/>
    <x v="12"/>
    <x v="1"/>
  </r>
  <r>
    <x v="2279"/>
    <x v="8"/>
    <x v="0"/>
    <n v="23.1"/>
    <n v="23.1"/>
    <x v="83"/>
    <d v="2025-03-26T00:00:00"/>
    <x v="1"/>
    <x v="0"/>
    <x v="0"/>
    <x v="0"/>
    <x v="25"/>
    <x v="3"/>
    <x v="12"/>
    <x v="1"/>
  </r>
  <r>
    <x v="2280"/>
    <x v="18"/>
    <x v="1"/>
    <n v="38.9"/>
    <n v="77.8"/>
    <x v="83"/>
    <d v="2025-03-26T00:00:00"/>
    <x v="1"/>
    <x v="2"/>
    <x v="0"/>
    <x v="0"/>
    <x v="25"/>
    <x v="3"/>
    <x v="12"/>
    <x v="1"/>
  </r>
  <r>
    <x v="2281"/>
    <x v="6"/>
    <x v="11"/>
    <n v="116.3"/>
    <n v="1046.7"/>
    <x v="83"/>
    <d v="2025-03-29T00:00:00"/>
    <x v="2"/>
    <x v="0"/>
    <x v="0"/>
    <x v="0"/>
    <x v="5"/>
    <x v="5"/>
    <x v="12"/>
    <x v="2"/>
  </r>
  <r>
    <x v="2282"/>
    <x v="16"/>
    <x v="11"/>
    <n v="64.099999999999994"/>
    <n v="576.9"/>
    <x v="83"/>
    <d v="2025-03-25T00:00:00"/>
    <x v="2"/>
    <x v="0"/>
    <x v="2"/>
    <x v="0"/>
    <x v="6"/>
    <x v="7"/>
    <x v="12"/>
    <x v="2"/>
  </r>
  <r>
    <x v="2283"/>
    <x v="2"/>
    <x v="13"/>
    <n v="109.2"/>
    <n v="655.20000000000005"/>
    <x v="83"/>
    <d v="2025-03-27T00:00:00"/>
    <x v="1"/>
    <x v="0"/>
    <x v="1"/>
    <x v="0"/>
    <x v="8"/>
    <x v="1"/>
    <x v="12"/>
    <x v="1"/>
  </r>
  <r>
    <x v="2284"/>
    <x v="10"/>
    <x v="9"/>
    <n v="23.2"/>
    <n v="116"/>
    <x v="84"/>
    <d v="2025-03-27T00:00:00"/>
    <x v="1"/>
    <x v="0"/>
    <x v="1"/>
    <x v="0"/>
    <x v="8"/>
    <x v="3"/>
    <x v="12"/>
    <x v="1"/>
  </r>
  <r>
    <x v="2285"/>
    <x v="18"/>
    <x v="13"/>
    <n v="81.2"/>
    <n v="487.20000000000005"/>
    <x v="84"/>
    <d v="2025-03-28T00:00:00"/>
    <x v="1"/>
    <x v="2"/>
    <x v="2"/>
    <x v="0"/>
    <x v="8"/>
    <x v="1"/>
    <x v="12"/>
    <x v="1"/>
  </r>
  <r>
    <x v="2286"/>
    <x v="1"/>
    <x v="21"/>
    <n v="35.700000000000003"/>
    <n v="499.80000000000007"/>
    <x v="84"/>
    <d v="2025-03-27T00:00:00"/>
    <x v="1"/>
    <x v="3"/>
    <x v="0"/>
    <x v="0"/>
    <x v="8"/>
    <x v="3"/>
    <x v="12"/>
    <x v="1"/>
  </r>
  <r>
    <x v="2287"/>
    <x v="7"/>
    <x v="1"/>
    <n v="44.5"/>
    <n v="89"/>
    <x v="84"/>
    <d v="2025-03-29T00:00:00"/>
    <x v="1"/>
    <x v="4"/>
    <x v="0"/>
    <x v="0"/>
    <x v="9"/>
    <x v="2"/>
    <x v="12"/>
    <x v="1"/>
  </r>
  <r>
    <x v="2288"/>
    <x v="1"/>
    <x v="9"/>
    <n v="32"/>
    <n v="160"/>
    <x v="84"/>
    <d v="2025-03-28T00:00:00"/>
    <x v="3"/>
    <x v="1"/>
    <x v="1"/>
    <x v="0"/>
    <x v="9"/>
    <x v="1"/>
    <x v="12"/>
    <x v="3"/>
  </r>
  <r>
    <x v="2289"/>
    <x v="8"/>
    <x v="0"/>
    <n v="25.7"/>
    <n v="25.7"/>
    <x v="84"/>
    <d v="2025-03-27T00:00:00"/>
    <x v="1"/>
    <x v="0"/>
    <x v="0"/>
    <x v="0"/>
    <x v="10"/>
    <x v="3"/>
    <x v="12"/>
    <x v="1"/>
  </r>
  <r>
    <x v="2290"/>
    <x v="16"/>
    <x v="2"/>
    <n v="65.599999999999994"/>
    <n v="196.79999999999998"/>
    <x v="84"/>
    <d v="2025-04-01T00:00:00"/>
    <x v="1"/>
    <x v="0"/>
    <x v="0"/>
    <x v="0"/>
    <x v="11"/>
    <x v="4"/>
    <x v="12"/>
    <x v="1"/>
  </r>
  <r>
    <x v="2291"/>
    <x v="1"/>
    <x v="12"/>
    <n v="52.1"/>
    <n v="208.4"/>
    <x v="84"/>
    <d v="2025-03-27T00:00:00"/>
    <x v="2"/>
    <x v="0"/>
    <x v="2"/>
    <x v="0"/>
    <x v="11"/>
    <x v="3"/>
    <x v="12"/>
    <x v="2"/>
  </r>
  <r>
    <x v="2292"/>
    <x v="8"/>
    <x v="0"/>
    <n v="31"/>
    <n v="31"/>
    <x v="84"/>
    <d v="2025-03-27T00:00:00"/>
    <x v="1"/>
    <x v="0"/>
    <x v="1"/>
    <x v="0"/>
    <x v="19"/>
    <x v="3"/>
    <x v="12"/>
    <x v="1"/>
  </r>
  <r>
    <x v="2293"/>
    <x v="8"/>
    <x v="0"/>
    <n v="32"/>
    <n v="32"/>
    <x v="84"/>
    <d v="2025-03-28T00:00:00"/>
    <x v="3"/>
    <x v="3"/>
    <x v="1"/>
    <x v="0"/>
    <x v="31"/>
    <x v="1"/>
    <x v="12"/>
    <x v="3"/>
  </r>
  <r>
    <x v="2294"/>
    <x v="16"/>
    <x v="12"/>
    <n v="58.3"/>
    <n v="233.2"/>
    <x v="84"/>
    <d v="2025-03-30T00:00:00"/>
    <x v="1"/>
    <x v="1"/>
    <x v="4"/>
    <x v="0"/>
    <x v="20"/>
    <x v="5"/>
    <x v="12"/>
    <x v="1"/>
  </r>
  <r>
    <x v="2295"/>
    <x v="8"/>
    <x v="2"/>
    <n v="31"/>
    <n v="93"/>
    <x v="84"/>
    <d v="2025-03-28T00:00:00"/>
    <x v="2"/>
    <x v="2"/>
    <x v="4"/>
    <x v="0"/>
    <x v="13"/>
    <x v="1"/>
    <x v="12"/>
    <x v="2"/>
  </r>
  <r>
    <x v="2296"/>
    <x v="3"/>
    <x v="0"/>
    <n v="40.299999999999997"/>
    <n v="40.299999999999997"/>
    <x v="84"/>
    <d v="2025-03-27T00:00:00"/>
    <x v="1"/>
    <x v="1"/>
    <x v="2"/>
    <x v="0"/>
    <x v="54"/>
    <x v="3"/>
    <x v="12"/>
    <x v="1"/>
  </r>
  <r>
    <x v="2297"/>
    <x v="6"/>
    <x v="2"/>
    <n v="47.3"/>
    <n v="141.89999999999998"/>
    <x v="84"/>
    <d v="2025-03-28T00:00:00"/>
    <x v="1"/>
    <x v="4"/>
    <x v="2"/>
    <x v="0"/>
    <x v="2"/>
    <x v="1"/>
    <x v="12"/>
    <x v="1"/>
  </r>
  <r>
    <x v="2298"/>
    <x v="2"/>
    <x v="0"/>
    <n v="82.8"/>
    <n v="82.8"/>
    <x v="84"/>
    <d v="2025-03-27T00:00:00"/>
    <x v="1"/>
    <x v="0"/>
    <x v="0"/>
    <x v="0"/>
    <x v="2"/>
    <x v="3"/>
    <x v="12"/>
    <x v="1"/>
  </r>
  <r>
    <x v="2299"/>
    <x v="8"/>
    <x v="0"/>
    <n v="18.5"/>
    <n v="18.5"/>
    <x v="84"/>
    <d v="2025-04-09T00:00:00"/>
    <x v="2"/>
    <x v="0"/>
    <x v="0"/>
    <x v="0"/>
    <x v="44"/>
    <x v="12"/>
    <x v="12"/>
    <x v="2"/>
  </r>
  <r>
    <x v="2300"/>
    <x v="3"/>
    <x v="1"/>
    <n v="60.4"/>
    <n v="120.8"/>
    <x v="84"/>
    <d v="2025-03-27T00:00:00"/>
    <x v="1"/>
    <x v="2"/>
    <x v="0"/>
    <x v="0"/>
    <x v="22"/>
    <x v="3"/>
    <x v="12"/>
    <x v="1"/>
  </r>
  <r>
    <x v="2301"/>
    <x v="6"/>
    <x v="9"/>
    <n v="80.2"/>
    <n v="401"/>
    <x v="84"/>
    <d v="2025-04-02T00:00:00"/>
    <x v="1"/>
    <x v="1"/>
    <x v="1"/>
    <x v="0"/>
    <x v="50"/>
    <x v="6"/>
    <x v="12"/>
    <x v="1"/>
  </r>
  <r>
    <x v="2302"/>
    <x v="4"/>
    <x v="0"/>
    <n v="41.5"/>
    <n v="41.5"/>
    <x v="84"/>
    <d v="2025-03-28T00:00:00"/>
    <x v="1"/>
    <x v="2"/>
    <x v="0"/>
    <x v="0"/>
    <x v="3"/>
    <x v="1"/>
    <x v="12"/>
    <x v="1"/>
  </r>
  <r>
    <x v="2303"/>
    <x v="2"/>
    <x v="1"/>
    <n v="83.9"/>
    <n v="167.8"/>
    <x v="84"/>
    <d v="2025-03-29T00:00:00"/>
    <x v="2"/>
    <x v="0"/>
    <x v="0"/>
    <x v="0"/>
    <x v="3"/>
    <x v="2"/>
    <x v="12"/>
    <x v="2"/>
  </r>
  <r>
    <x v="2304"/>
    <x v="8"/>
    <x v="1"/>
    <n v="16.7"/>
    <n v="33.4"/>
    <x v="84"/>
    <d v="2025-03-30T00:00:00"/>
    <x v="2"/>
    <x v="0"/>
    <x v="1"/>
    <x v="0"/>
    <x v="3"/>
    <x v="5"/>
    <x v="12"/>
    <x v="2"/>
  </r>
  <r>
    <x v="2305"/>
    <x v="9"/>
    <x v="1"/>
    <n v="72.900000000000006"/>
    <n v="145.80000000000001"/>
    <x v="84"/>
    <d v="2025-03-27T00:00:00"/>
    <x v="1"/>
    <x v="2"/>
    <x v="1"/>
    <x v="0"/>
    <x v="3"/>
    <x v="3"/>
    <x v="12"/>
    <x v="1"/>
  </r>
  <r>
    <x v="2306"/>
    <x v="5"/>
    <x v="1"/>
    <n v="50.2"/>
    <n v="100.4"/>
    <x v="84"/>
    <d v="2025-03-28T00:00:00"/>
    <x v="2"/>
    <x v="1"/>
    <x v="2"/>
    <x v="0"/>
    <x v="3"/>
    <x v="1"/>
    <x v="12"/>
    <x v="2"/>
  </r>
  <r>
    <x v="2307"/>
    <x v="3"/>
    <x v="1"/>
    <n v="34.200000000000003"/>
    <n v="68.400000000000006"/>
    <x v="84"/>
    <d v="2025-04-05T00:00:00"/>
    <x v="0"/>
    <x v="1"/>
    <x v="0"/>
    <x v="0"/>
    <x v="3"/>
    <x v="14"/>
    <x v="12"/>
    <x v="0"/>
  </r>
  <r>
    <x v="2308"/>
    <x v="5"/>
    <x v="1"/>
    <n v="107.9"/>
    <n v="215.8"/>
    <x v="84"/>
    <d v="2025-03-26T00:00:00"/>
    <x v="1"/>
    <x v="1"/>
    <x v="4"/>
    <x v="0"/>
    <x v="3"/>
    <x v="7"/>
    <x v="12"/>
    <x v="1"/>
  </r>
  <r>
    <x v="2309"/>
    <x v="0"/>
    <x v="2"/>
    <n v="17.5"/>
    <n v="52.5"/>
    <x v="84"/>
    <d v="2025-03-28T00:00:00"/>
    <x v="1"/>
    <x v="4"/>
    <x v="0"/>
    <x v="0"/>
    <x v="3"/>
    <x v="1"/>
    <x v="12"/>
    <x v="1"/>
  </r>
  <r>
    <x v="2310"/>
    <x v="13"/>
    <x v="20"/>
    <n v="44.7"/>
    <n v="670.5"/>
    <x v="84"/>
    <d v="2025-03-27T00:00:00"/>
    <x v="1"/>
    <x v="0"/>
    <x v="1"/>
    <x v="0"/>
    <x v="3"/>
    <x v="3"/>
    <x v="12"/>
    <x v="1"/>
  </r>
  <r>
    <x v="2311"/>
    <x v="12"/>
    <x v="13"/>
    <n v="92.7"/>
    <n v="556.20000000000005"/>
    <x v="84"/>
    <d v="2025-03-28T00:00:00"/>
    <x v="2"/>
    <x v="2"/>
    <x v="1"/>
    <x v="0"/>
    <x v="3"/>
    <x v="1"/>
    <x v="12"/>
    <x v="2"/>
  </r>
  <r>
    <x v="2312"/>
    <x v="7"/>
    <x v="2"/>
    <n v="48.8"/>
    <n v="146.39999999999998"/>
    <x v="84"/>
    <d v="2025-03-28T00:00:00"/>
    <x v="2"/>
    <x v="2"/>
    <x v="0"/>
    <x v="0"/>
    <x v="3"/>
    <x v="1"/>
    <x v="12"/>
    <x v="2"/>
  </r>
  <r>
    <x v="2313"/>
    <x v="4"/>
    <x v="27"/>
    <n v="21.3"/>
    <n v="340.8"/>
    <x v="84"/>
    <d v="2025-03-30T00:00:00"/>
    <x v="2"/>
    <x v="3"/>
    <x v="3"/>
    <x v="0"/>
    <x v="3"/>
    <x v="5"/>
    <x v="12"/>
    <x v="2"/>
  </r>
  <r>
    <x v="2314"/>
    <x v="16"/>
    <x v="0"/>
    <n v="52.5"/>
    <n v="52.5"/>
    <x v="84"/>
    <d v="2025-03-27T00:00:00"/>
    <x v="2"/>
    <x v="0"/>
    <x v="0"/>
    <x v="0"/>
    <x v="3"/>
    <x v="3"/>
    <x v="12"/>
    <x v="2"/>
  </r>
  <r>
    <x v="2315"/>
    <x v="1"/>
    <x v="1"/>
    <n v="92.4"/>
    <n v="184.8"/>
    <x v="84"/>
    <d v="2025-04-01T00:00:00"/>
    <x v="2"/>
    <x v="0"/>
    <x v="2"/>
    <x v="0"/>
    <x v="3"/>
    <x v="4"/>
    <x v="12"/>
    <x v="2"/>
  </r>
  <r>
    <x v="2316"/>
    <x v="4"/>
    <x v="5"/>
    <n v="58.3"/>
    <n v="641.29999999999995"/>
    <x v="84"/>
    <d v="2025-03-28T00:00:00"/>
    <x v="1"/>
    <x v="1"/>
    <x v="2"/>
    <x v="0"/>
    <x v="3"/>
    <x v="1"/>
    <x v="12"/>
    <x v="1"/>
  </r>
  <r>
    <x v="2317"/>
    <x v="6"/>
    <x v="44"/>
    <n v="152.6"/>
    <n v="3509.7999999999997"/>
    <x v="85"/>
    <d v="2025-03-29T00:00:00"/>
    <x v="0"/>
    <x v="0"/>
    <x v="0"/>
    <x v="0"/>
    <x v="3"/>
    <x v="1"/>
    <x v="12"/>
    <x v="0"/>
  </r>
  <r>
    <x v="2318"/>
    <x v="8"/>
    <x v="1"/>
    <n v="26"/>
    <n v="52"/>
    <x v="85"/>
    <d v="2025-03-27T00:00:00"/>
    <x v="0"/>
    <x v="0"/>
    <x v="1"/>
    <x v="0"/>
    <x v="3"/>
    <x v="7"/>
    <x v="12"/>
    <x v="0"/>
  </r>
  <r>
    <x v="2319"/>
    <x v="1"/>
    <x v="12"/>
    <n v="33.1"/>
    <n v="132.4"/>
    <x v="85"/>
    <d v="2025-03-27T00:00:00"/>
    <x v="1"/>
    <x v="2"/>
    <x v="4"/>
    <x v="0"/>
    <x v="5"/>
    <x v="7"/>
    <x v="12"/>
    <x v="1"/>
  </r>
  <r>
    <x v="2320"/>
    <x v="18"/>
    <x v="0"/>
    <n v="51.4"/>
    <n v="51.4"/>
    <x v="85"/>
    <d v="2025-03-29T00:00:00"/>
    <x v="2"/>
    <x v="1"/>
    <x v="1"/>
    <x v="0"/>
    <x v="5"/>
    <x v="1"/>
    <x v="12"/>
    <x v="2"/>
  </r>
  <r>
    <x v="2321"/>
    <x v="8"/>
    <x v="1"/>
    <n v="30.2"/>
    <n v="60.4"/>
    <x v="85"/>
    <d v="2025-03-28T00:00:00"/>
    <x v="2"/>
    <x v="2"/>
    <x v="2"/>
    <x v="0"/>
    <x v="6"/>
    <x v="3"/>
    <x v="12"/>
    <x v="2"/>
  </r>
  <r>
    <x v="2322"/>
    <x v="2"/>
    <x v="13"/>
    <n v="97"/>
    <n v="582"/>
    <x v="85"/>
    <d v="2025-03-31T00:00:00"/>
    <x v="2"/>
    <x v="0"/>
    <x v="2"/>
    <x v="0"/>
    <x v="7"/>
    <x v="5"/>
    <x v="12"/>
    <x v="2"/>
  </r>
  <r>
    <x v="2323"/>
    <x v="2"/>
    <x v="0"/>
    <n v="76.900000000000006"/>
    <n v="76.900000000000006"/>
    <x v="85"/>
    <d v="2025-03-28T00:00:00"/>
    <x v="1"/>
    <x v="1"/>
    <x v="2"/>
    <x v="0"/>
    <x v="8"/>
    <x v="3"/>
    <x v="12"/>
    <x v="1"/>
  </r>
  <r>
    <x v="2324"/>
    <x v="7"/>
    <x v="13"/>
    <n v="36.1"/>
    <n v="216.60000000000002"/>
    <x v="85"/>
    <d v="2025-03-31T00:00:00"/>
    <x v="2"/>
    <x v="0"/>
    <x v="0"/>
    <x v="0"/>
    <x v="8"/>
    <x v="5"/>
    <x v="12"/>
    <x v="2"/>
  </r>
  <r>
    <x v="2325"/>
    <x v="1"/>
    <x v="3"/>
    <n v="34.4"/>
    <n v="240.79999999999998"/>
    <x v="85"/>
    <d v="2025-03-27T00:00:00"/>
    <x v="2"/>
    <x v="2"/>
    <x v="1"/>
    <x v="0"/>
    <x v="11"/>
    <x v="7"/>
    <x v="12"/>
    <x v="2"/>
  </r>
  <r>
    <x v="2326"/>
    <x v="1"/>
    <x v="31"/>
    <n v="53.4"/>
    <n v="1495.2"/>
    <x v="85"/>
    <d v="2025-03-29T00:00:00"/>
    <x v="2"/>
    <x v="1"/>
    <x v="0"/>
    <x v="0"/>
    <x v="18"/>
    <x v="1"/>
    <x v="12"/>
    <x v="2"/>
  </r>
  <r>
    <x v="2327"/>
    <x v="2"/>
    <x v="0"/>
    <n v="77.599999999999994"/>
    <n v="77.599999999999994"/>
    <x v="85"/>
    <d v="2025-03-28T00:00:00"/>
    <x v="2"/>
    <x v="0"/>
    <x v="1"/>
    <x v="0"/>
    <x v="19"/>
    <x v="3"/>
    <x v="12"/>
    <x v="2"/>
  </r>
  <r>
    <x v="2328"/>
    <x v="1"/>
    <x v="2"/>
    <n v="71.7"/>
    <n v="215.10000000000002"/>
    <x v="85"/>
    <d v="2025-03-30T00:00:00"/>
    <x v="2"/>
    <x v="1"/>
    <x v="0"/>
    <x v="0"/>
    <x v="19"/>
    <x v="2"/>
    <x v="12"/>
    <x v="2"/>
  </r>
  <r>
    <x v="2329"/>
    <x v="3"/>
    <x v="2"/>
    <n v="80.599999999999994"/>
    <n v="241.79999999999998"/>
    <x v="85"/>
    <d v="2025-03-28T00:00:00"/>
    <x v="1"/>
    <x v="4"/>
    <x v="1"/>
    <x v="0"/>
    <x v="19"/>
    <x v="3"/>
    <x v="12"/>
    <x v="1"/>
  </r>
  <r>
    <x v="2330"/>
    <x v="1"/>
    <x v="20"/>
    <n v="70"/>
    <n v="1050"/>
    <x v="85"/>
    <d v="2025-03-29T00:00:00"/>
    <x v="1"/>
    <x v="0"/>
    <x v="0"/>
    <x v="0"/>
    <x v="20"/>
    <x v="1"/>
    <x v="12"/>
    <x v="1"/>
  </r>
  <r>
    <x v="2331"/>
    <x v="4"/>
    <x v="13"/>
    <n v="27.3"/>
    <n v="163.80000000000001"/>
    <x v="85"/>
    <d v="2025-03-29T00:00:00"/>
    <x v="2"/>
    <x v="1"/>
    <x v="1"/>
    <x v="0"/>
    <x v="2"/>
    <x v="1"/>
    <x v="12"/>
    <x v="2"/>
  </r>
  <r>
    <x v="2332"/>
    <x v="8"/>
    <x v="21"/>
    <n v="37.6"/>
    <n v="526.4"/>
    <x v="85"/>
    <d v="2025-03-29T00:00:00"/>
    <x v="1"/>
    <x v="1"/>
    <x v="0"/>
    <x v="0"/>
    <x v="3"/>
    <x v="1"/>
    <x v="12"/>
    <x v="1"/>
  </r>
  <r>
    <x v="2333"/>
    <x v="5"/>
    <x v="2"/>
    <n v="36.6"/>
    <n v="109.80000000000001"/>
    <x v="85"/>
    <d v="2025-03-29T00:00:00"/>
    <x v="2"/>
    <x v="4"/>
    <x v="0"/>
    <x v="0"/>
    <x v="3"/>
    <x v="1"/>
    <x v="12"/>
    <x v="2"/>
  </r>
  <r>
    <x v="2334"/>
    <x v="13"/>
    <x v="0"/>
    <n v="55.2"/>
    <n v="55.2"/>
    <x v="85"/>
    <d v="2025-03-29T00:00:00"/>
    <x v="1"/>
    <x v="3"/>
    <x v="0"/>
    <x v="0"/>
    <x v="3"/>
    <x v="1"/>
    <x v="12"/>
    <x v="1"/>
  </r>
  <r>
    <x v="2335"/>
    <x v="6"/>
    <x v="9"/>
    <n v="59.9"/>
    <n v="299.5"/>
    <x v="85"/>
    <d v="2025-03-29T00:00:00"/>
    <x v="1"/>
    <x v="0"/>
    <x v="0"/>
    <x v="0"/>
    <x v="3"/>
    <x v="1"/>
    <x v="12"/>
    <x v="1"/>
  </r>
  <r>
    <x v="2336"/>
    <x v="6"/>
    <x v="0"/>
    <n v="44"/>
    <n v="44"/>
    <x v="85"/>
    <d v="2025-03-28T00:00:00"/>
    <x v="2"/>
    <x v="2"/>
    <x v="2"/>
    <x v="0"/>
    <x v="3"/>
    <x v="3"/>
    <x v="12"/>
    <x v="2"/>
  </r>
  <r>
    <x v="2337"/>
    <x v="9"/>
    <x v="1"/>
    <n v="68.7"/>
    <n v="137.4"/>
    <x v="85"/>
    <d v="2025-03-27T00:00:00"/>
    <x v="1"/>
    <x v="0"/>
    <x v="0"/>
    <x v="0"/>
    <x v="3"/>
    <x v="7"/>
    <x v="12"/>
    <x v="1"/>
  </r>
  <r>
    <x v="2338"/>
    <x v="5"/>
    <x v="1"/>
    <n v="61.6"/>
    <n v="123.2"/>
    <x v="85"/>
    <d v="2025-03-31T00:00:00"/>
    <x v="1"/>
    <x v="3"/>
    <x v="1"/>
    <x v="0"/>
    <x v="3"/>
    <x v="5"/>
    <x v="12"/>
    <x v="1"/>
  </r>
  <r>
    <x v="2339"/>
    <x v="7"/>
    <x v="3"/>
    <n v="51.8"/>
    <n v="362.59999999999997"/>
    <x v="85"/>
    <d v="2025-03-28T00:00:00"/>
    <x v="1"/>
    <x v="0"/>
    <x v="0"/>
    <x v="0"/>
    <x v="3"/>
    <x v="3"/>
    <x v="12"/>
    <x v="1"/>
  </r>
  <r>
    <x v="2340"/>
    <x v="8"/>
    <x v="7"/>
    <n v="46.2"/>
    <n v="462"/>
    <x v="85"/>
    <d v="2025-03-29T00:00:00"/>
    <x v="1"/>
    <x v="1"/>
    <x v="2"/>
    <x v="0"/>
    <x v="3"/>
    <x v="1"/>
    <x v="12"/>
    <x v="1"/>
  </r>
  <r>
    <x v="2341"/>
    <x v="0"/>
    <x v="1"/>
    <n v="19.399999999999999"/>
    <n v="38.799999999999997"/>
    <x v="85"/>
    <d v="2025-03-29T00:00:00"/>
    <x v="2"/>
    <x v="1"/>
    <x v="2"/>
    <x v="0"/>
    <x v="6"/>
    <x v="1"/>
    <x v="12"/>
    <x v="2"/>
  </r>
  <r>
    <x v="2342"/>
    <x v="11"/>
    <x v="2"/>
    <n v="52.1"/>
    <n v="156.30000000000001"/>
    <x v="85"/>
    <d v="2025-03-30T00:00:00"/>
    <x v="1"/>
    <x v="3"/>
    <x v="3"/>
    <x v="0"/>
    <x v="6"/>
    <x v="2"/>
    <x v="12"/>
    <x v="1"/>
  </r>
  <r>
    <x v="2343"/>
    <x v="6"/>
    <x v="0"/>
    <n v="74.900000000000006"/>
    <n v="74.900000000000006"/>
    <x v="85"/>
    <d v="2025-03-29T00:00:00"/>
    <x v="3"/>
    <x v="0"/>
    <x v="0"/>
    <x v="0"/>
    <x v="7"/>
    <x v="1"/>
    <x v="12"/>
    <x v="3"/>
  </r>
  <r>
    <x v="2344"/>
    <x v="9"/>
    <x v="3"/>
    <n v="49.6"/>
    <n v="347.2"/>
    <x v="85"/>
    <d v="2025-03-30T00:00:00"/>
    <x v="2"/>
    <x v="4"/>
    <x v="0"/>
    <x v="0"/>
    <x v="8"/>
    <x v="2"/>
    <x v="12"/>
    <x v="2"/>
  </r>
  <r>
    <x v="2345"/>
    <x v="16"/>
    <x v="12"/>
    <n v="82.8"/>
    <n v="331.2"/>
    <x v="86"/>
    <d v="2025-03-31T00:00:00"/>
    <x v="2"/>
    <x v="4"/>
    <x v="0"/>
    <x v="0"/>
    <x v="8"/>
    <x v="2"/>
    <x v="12"/>
    <x v="2"/>
  </r>
  <r>
    <x v="2346"/>
    <x v="2"/>
    <x v="0"/>
    <n v="97.7"/>
    <n v="97.7"/>
    <x v="86"/>
    <d v="2025-03-29T00:00:00"/>
    <x v="2"/>
    <x v="1"/>
    <x v="0"/>
    <x v="0"/>
    <x v="8"/>
    <x v="3"/>
    <x v="12"/>
    <x v="2"/>
  </r>
  <r>
    <x v="2347"/>
    <x v="6"/>
    <x v="9"/>
    <n v="83.6"/>
    <n v="418"/>
    <x v="86"/>
    <d v="2025-03-29T00:00:00"/>
    <x v="2"/>
    <x v="4"/>
    <x v="0"/>
    <x v="0"/>
    <x v="8"/>
    <x v="3"/>
    <x v="12"/>
    <x v="2"/>
  </r>
  <r>
    <x v="2348"/>
    <x v="8"/>
    <x v="9"/>
    <n v="23.5"/>
    <n v="117.5"/>
    <x v="86"/>
    <d v="2025-04-01T00:00:00"/>
    <x v="3"/>
    <x v="0"/>
    <x v="0"/>
    <x v="0"/>
    <x v="8"/>
    <x v="5"/>
    <x v="12"/>
    <x v="3"/>
  </r>
  <r>
    <x v="2349"/>
    <x v="9"/>
    <x v="2"/>
    <n v="44.6"/>
    <n v="133.80000000000001"/>
    <x v="86"/>
    <d v="2025-03-31T00:00:00"/>
    <x v="2"/>
    <x v="4"/>
    <x v="1"/>
    <x v="0"/>
    <x v="26"/>
    <x v="2"/>
    <x v="12"/>
    <x v="2"/>
  </r>
  <r>
    <x v="2350"/>
    <x v="0"/>
    <x v="2"/>
    <n v="20.100000000000001"/>
    <n v="60.300000000000004"/>
    <x v="86"/>
    <d v="2025-03-30T00:00:00"/>
    <x v="2"/>
    <x v="3"/>
    <x v="4"/>
    <x v="0"/>
    <x v="11"/>
    <x v="1"/>
    <x v="12"/>
    <x v="2"/>
  </r>
  <r>
    <x v="2351"/>
    <x v="2"/>
    <x v="9"/>
    <n v="153.6"/>
    <n v="768"/>
    <x v="86"/>
    <d v="2025-03-29T00:00:00"/>
    <x v="2"/>
    <x v="1"/>
    <x v="2"/>
    <x v="0"/>
    <x v="53"/>
    <x v="3"/>
    <x v="12"/>
    <x v="2"/>
  </r>
  <r>
    <x v="2352"/>
    <x v="1"/>
    <x v="1"/>
    <n v="71.8"/>
    <n v="143.6"/>
    <x v="86"/>
    <d v="2025-04-01T00:00:00"/>
    <x v="2"/>
    <x v="1"/>
    <x v="0"/>
    <x v="0"/>
    <x v="1"/>
    <x v="5"/>
    <x v="12"/>
    <x v="2"/>
  </r>
  <r>
    <x v="2353"/>
    <x v="10"/>
    <x v="0"/>
    <n v="64.7"/>
    <n v="64.7"/>
    <x v="86"/>
    <d v="2025-03-30T00:00:00"/>
    <x v="0"/>
    <x v="0"/>
    <x v="1"/>
    <x v="0"/>
    <x v="1"/>
    <x v="1"/>
    <x v="12"/>
    <x v="0"/>
  </r>
  <r>
    <x v="2354"/>
    <x v="9"/>
    <x v="8"/>
    <n v="60.4"/>
    <n v="483.2"/>
    <x v="86"/>
    <d v="2025-03-30T00:00:00"/>
    <x v="2"/>
    <x v="3"/>
    <x v="2"/>
    <x v="0"/>
    <x v="2"/>
    <x v="1"/>
    <x v="12"/>
    <x v="2"/>
  </r>
  <r>
    <x v="2355"/>
    <x v="6"/>
    <x v="12"/>
    <n v="86"/>
    <n v="344"/>
    <x v="86"/>
    <d v="2025-03-31T00:00:00"/>
    <x v="2"/>
    <x v="2"/>
    <x v="2"/>
    <x v="0"/>
    <x v="22"/>
    <x v="2"/>
    <x v="12"/>
    <x v="2"/>
  </r>
  <r>
    <x v="2356"/>
    <x v="12"/>
    <x v="1"/>
    <n v="42.1"/>
    <n v="84.2"/>
    <x v="86"/>
    <d v="2025-03-29T00:00:00"/>
    <x v="2"/>
    <x v="4"/>
    <x v="1"/>
    <x v="0"/>
    <x v="34"/>
    <x v="3"/>
    <x v="12"/>
    <x v="2"/>
  </r>
  <r>
    <x v="2357"/>
    <x v="16"/>
    <x v="11"/>
    <n v="51.1"/>
    <n v="459.90000000000003"/>
    <x v="86"/>
    <d v="2025-03-29T00:00:00"/>
    <x v="1"/>
    <x v="2"/>
    <x v="1"/>
    <x v="0"/>
    <x v="3"/>
    <x v="3"/>
    <x v="12"/>
    <x v="1"/>
  </r>
  <r>
    <x v="2358"/>
    <x v="9"/>
    <x v="12"/>
    <n v="73.8"/>
    <n v="295.2"/>
    <x v="86"/>
    <d v="2025-03-29T00:00:00"/>
    <x v="1"/>
    <x v="4"/>
    <x v="0"/>
    <x v="0"/>
    <x v="3"/>
    <x v="3"/>
    <x v="12"/>
    <x v="1"/>
  </r>
  <r>
    <x v="2359"/>
    <x v="8"/>
    <x v="9"/>
    <n v="27"/>
    <n v="135"/>
    <x v="86"/>
    <d v="2025-03-31T00:00:00"/>
    <x v="2"/>
    <x v="2"/>
    <x v="2"/>
    <x v="0"/>
    <x v="3"/>
    <x v="2"/>
    <x v="12"/>
    <x v="2"/>
  </r>
  <r>
    <x v="2360"/>
    <x v="8"/>
    <x v="13"/>
    <n v="60.1"/>
    <n v="360.6"/>
    <x v="86"/>
    <d v="2025-03-29T00:00:00"/>
    <x v="1"/>
    <x v="3"/>
    <x v="0"/>
    <x v="0"/>
    <x v="3"/>
    <x v="3"/>
    <x v="12"/>
    <x v="1"/>
  </r>
  <r>
    <x v="2361"/>
    <x v="2"/>
    <x v="3"/>
    <n v="94.1"/>
    <n v="658.69999999999993"/>
    <x v="86"/>
    <d v="2025-03-30T00:00:00"/>
    <x v="2"/>
    <x v="4"/>
    <x v="1"/>
    <x v="0"/>
    <x v="3"/>
    <x v="1"/>
    <x v="12"/>
    <x v="2"/>
  </r>
  <r>
    <x v="2362"/>
    <x v="2"/>
    <x v="1"/>
    <n v="124.1"/>
    <n v="248.2"/>
    <x v="86"/>
    <d v="2025-03-28T00:00:00"/>
    <x v="2"/>
    <x v="2"/>
    <x v="3"/>
    <x v="0"/>
    <x v="43"/>
    <x v="7"/>
    <x v="12"/>
    <x v="2"/>
  </r>
  <r>
    <x v="2363"/>
    <x v="8"/>
    <x v="12"/>
    <n v="16.899999999999999"/>
    <n v="67.599999999999994"/>
    <x v="86"/>
    <d v="2025-03-31T00:00:00"/>
    <x v="1"/>
    <x v="3"/>
    <x v="0"/>
    <x v="0"/>
    <x v="6"/>
    <x v="2"/>
    <x v="12"/>
    <x v="1"/>
  </r>
  <r>
    <x v="2364"/>
    <x v="1"/>
    <x v="0"/>
    <n v="36.9"/>
    <n v="36.9"/>
    <x v="86"/>
    <d v="2025-03-29T00:00:00"/>
    <x v="1"/>
    <x v="0"/>
    <x v="0"/>
    <x v="0"/>
    <x v="6"/>
    <x v="3"/>
    <x v="12"/>
    <x v="1"/>
  </r>
  <r>
    <x v="2365"/>
    <x v="9"/>
    <x v="1"/>
    <n v="22.6"/>
    <n v="45.2"/>
    <x v="86"/>
    <d v="2025-04-10T00:00:00"/>
    <x v="2"/>
    <x v="2"/>
    <x v="1"/>
    <x v="0"/>
    <x v="8"/>
    <x v="10"/>
    <x v="12"/>
    <x v="2"/>
  </r>
  <r>
    <x v="2366"/>
    <x v="7"/>
    <x v="12"/>
    <n v="35"/>
    <n v="140"/>
    <x v="86"/>
    <d v="2025-04-02T00:00:00"/>
    <x v="1"/>
    <x v="3"/>
    <x v="1"/>
    <x v="0"/>
    <x v="8"/>
    <x v="0"/>
    <x v="12"/>
    <x v="1"/>
  </r>
  <r>
    <x v="2367"/>
    <x v="9"/>
    <x v="13"/>
    <n v="63.6"/>
    <n v="381.6"/>
    <x v="86"/>
    <d v="2025-04-04T00:00:00"/>
    <x v="0"/>
    <x v="1"/>
    <x v="2"/>
    <x v="0"/>
    <x v="8"/>
    <x v="6"/>
    <x v="12"/>
    <x v="0"/>
  </r>
  <r>
    <x v="2368"/>
    <x v="15"/>
    <x v="12"/>
    <n v="78.599999999999994"/>
    <n v="314.39999999999998"/>
    <x v="86"/>
    <d v="2025-03-29T00:00:00"/>
    <x v="1"/>
    <x v="4"/>
    <x v="1"/>
    <x v="0"/>
    <x v="8"/>
    <x v="3"/>
    <x v="12"/>
    <x v="1"/>
  </r>
  <r>
    <x v="2369"/>
    <x v="3"/>
    <x v="1"/>
    <n v="38.5"/>
    <n v="77"/>
    <x v="86"/>
    <d v="2025-03-29T00:00:00"/>
    <x v="1"/>
    <x v="0"/>
    <x v="2"/>
    <x v="0"/>
    <x v="8"/>
    <x v="3"/>
    <x v="12"/>
    <x v="1"/>
  </r>
  <r>
    <x v="2370"/>
    <x v="8"/>
    <x v="5"/>
    <n v="71.5"/>
    <n v="786.5"/>
    <x v="86"/>
    <d v="2025-03-29T00:00:00"/>
    <x v="2"/>
    <x v="1"/>
    <x v="4"/>
    <x v="0"/>
    <x v="8"/>
    <x v="3"/>
    <x v="12"/>
    <x v="2"/>
  </r>
  <r>
    <x v="2371"/>
    <x v="6"/>
    <x v="12"/>
    <n v="121.4"/>
    <n v="485.6"/>
    <x v="86"/>
    <d v="2025-04-01T00:00:00"/>
    <x v="1"/>
    <x v="1"/>
    <x v="2"/>
    <x v="0"/>
    <x v="17"/>
    <x v="5"/>
    <x v="12"/>
    <x v="1"/>
  </r>
  <r>
    <x v="2372"/>
    <x v="11"/>
    <x v="0"/>
    <n v="40.200000000000003"/>
    <n v="40.200000000000003"/>
    <x v="86"/>
    <d v="2025-03-31T00:00:00"/>
    <x v="2"/>
    <x v="0"/>
    <x v="2"/>
    <x v="0"/>
    <x v="11"/>
    <x v="2"/>
    <x v="12"/>
    <x v="2"/>
  </r>
  <r>
    <x v="2373"/>
    <x v="5"/>
    <x v="9"/>
    <n v="31.9"/>
    <n v="159.5"/>
    <x v="86"/>
    <d v="2025-03-30T00:00:00"/>
    <x v="2"/>
    <x v="2"/>
    <x v="2"/>
    <x v="0"/>
    <x v="28"/>
    <x v="1"/>
    <x v="12"/>
    <x v="2"/>
  </r>
  <r>
    <x v="2374"/>
    <x v="14"/>
    <x v="9"/>
    <n v="15.8"/>
    <n v="79"/>
    <x v="87"/>
    <d v="2025-03-30T00:00:00"/>
    <x v="1"/>
    <x v="3"/>
    <x v="2"/>
    <x v="0"/>
    <x v="21"/>
    <x v="3"/>
    <x v="12"/>
    <x v="1"/>
  </r>
  <r>
    <x v="2375"/>
    <x v="10"/>
    <x v="1"/>
    <n v="25.1"/>
    <n v="50.2"/>
    <x v="87"/>
    <d v="2025-03-31T00:00:00"/>
    <x v="0"/>
    <x v="1"/>
    <x v="0"/>
    <x v="0"/>
    <x v="21"/>
    <x v="1"/>
    <x v="12"/>
    <x v="0"/>
  </r>
  <r>
    <x v="2376"/>
    <x v="1"/>
    <x v="44"/>
    <n v="38.1"/>
    <n v="876.30000000000007"/>
    <x v="87"/>
    <d v="2025-03-30T00:00:00"/>
    <x v="2"/>
    <x v="4"/>
    <x v="0"/>
    <x v="0"/>
    <x v="1"/>
    <x v="3"/>
    <x v="12"/>
    <x v="2"/>
  </r>
  <r>
    <x v="2377"/>
    <x v="3"/>
    <x v="1"/>
    <n v="42.2"/>
    <n v="84.4"/>
    <x v="87"/>
    <d v="2025-03-31T00:00:00"/>
    <x v="2"/>
    <x v="0"/>
    <x v="2"/>
    <x v="0"/>
    <x v="1"/>
    <x v="1"/>
    <x v="12"/>
    <x v="2"/>
  </r>
  <r>
    <x v="2378"/>
    <x v="0"/>
    <x v="7"/>
    <n v="12.3"/>
    <n v="123"/>
    <x v="87"/>
    <d v="2025-03-30T00:00:00"/>
    <x v="2"/>
    <x v="4"/>
    <x v="0"/>
    <x v="0"/>
    <x v="2"/>
    <x v="3"/>
    <x v="12"/>
    <x v="2"/>
  </r>
  <r>
    <x v="2379"/>
    <x v="7"/>
    <x v="0"/>
    <n v="30.2"/>
    <n v="30.2"/>
    <x v="87"/>
    <d v="2025-03-31T00:00:00"/>
    <x v="2"/>
    <x v="1"/>
    <x v="2"/>
    <x v="0"/>
    <x v="34"/>
    <x v="1"/>
    <x v="12"/>
    <x v="2"/>
  </r>
  <r>
    <x v="2380"/>
    <x v="5"/>
    <x v="2"/>
    <n v="25.3"/>
    <n v="75.900000000000006"/>
    <x v="87"/>
    <d v="2025-04-01T00:00:00"/>
    <x v="2"/>
    <x v="2"/>
    <x v="0"/>
    <x v="0"/>
    <x v="3"/>
    <x v="2"/>
    <x v="12"/>
    <x v="2"/>
  </r>
  <r>
    <x v="2381"/>
    <x v="8"/>
    <x v="9"/>
    <n v="29.7"/>
    <n v="148.5"/>
    <x v="87"/>
    <d v="2025-03-31T00:00:00"/>
    <x v="1"/>
    <x v="3"/>
    <x v="0"/>
    <x v="0"/>
    <x v="3"/>
    <x v="1"/>
    <x v="12"/>
    <x v="1"/>
  </r>
  <r>
    <x v="2382"/>
    <x v="9"/>
    <x v="8"/>
    <n v="32.9"/>
    <n v="263.2"/>
    <x v="87"/>
    <d v="2025-03-30T00:00:00"/>
    <x v="0"/>
    <x v="3"/>
    <x v="2"/>
    <x v="0"/>
    <x v="3"/>
    <x v="3"/>
    <x v="12"/>
    <x v="0"/>
  </r>
  <r>
    <x v="2383"/>
    <x v="10"/>
    <x v="1"/>
    <n v="43.6"/>
    <n v="87.2"/>
    <x v="87"/>
    <d v="2025-03-30T00:00:00"/>
    <x v="1"/>
    <x v="1"/>
    <x v="2"/>
    <x v="0"/>
    <x v="3"/>
    <x v="3"/>
    <x v="12"/>
    <x v="1"/>
  </r>
  <r>
    <x v="2384"/>
    <x v="15"/>
    <x v="12"/>
    <n v="78.400000000000006"/>
    <n v="313.60000000000002"/>
    <x v="87"/>
    <d v="2025-03-30T00:00:00"/>
    <x v="1"/>
    <x v="2"/>
    <x v="0"/>
    <x v="0"/>
    <x v="3"/>
    <x v="3"/>
    <x v="12"/>
    <x v="1"/>
  </r>
  <r>
    <x v="2385"/>
    <x v="6"/>
    <x v="1"/>
    <n v="56.5"/>
    <n v="113"/>
    <x v="87"/>
    <d v="2025-04-02T00:00:00"/>
    <x v="1"/>
    <x v="1"/>
    <x v="1"/>
    <x v="0"/>
    <x v="3"/>
    <x v="5"/>
    <x v="12"/>
    <x v="1"/>
  </r>
  <r>
    <x v="2386"/>
    <x v="16"/>
    <x v="0"/>
    <n v="36.700000000000003"/>
    <n v="36.700000000000003"/>
    <x v="87"/>
    <d v="2025-03-30T00:00:00"/>
    <x v="2"/>
    <x v="0"/>
    <x v="2"/>
    <x v="0"/>
    <x v="3"/>
    <x v="3"/>
    <x v="12"/>
    <x v="2"/>
  </r>
  <r>
    <x v="2387"/>
    <x v="2"/>
    <x v="12"/>
    <n v="103.6"/>
    <n v="414.4"/>
    <x v="87"/>
    <d v="2025-04-09T00:00:00"/>
    <x v="1"/>
    <x v="4"/>
    <x v="2"/>
    <x v="0"/>
    <x v="3"/>
    <x v="11"/>
    <x v="12"/>
    <x v="1"/>
  </r>
  <r>
    <x v="2388"/>
    <x v="8"/>
    <x v="13"/>
    <n v="16.2"/>
    <n v="97.199999999999989"/>
    <x v="87"/>
    <d v="2025-04-02T00:00:00"/>
    <x v="1"/>
    <x v="1"/>
    <x v="2"/>
    <x v="0"/>
    <x v="6"/>
    <x v="5"/>
    <x v="12"/>
    <x v="1"/>
  </r>
  <r>
    <x v="2389"/>
    <x v="8"/>
    <x v="1"/>
    <n v="20.2"/>
    <n v="40.4"/>
    <x v="87"/>
    <d v="2025-03-30T00:00:00"/>
    <x v="2"/>
    <x v="0"/>
    <x v="0"/>
    <x v="0"/>
    <x v="6"/>
    <x v="3"/>
    <x v="12"/>
    <x v="2"/>
  </r>
  <r>
    <x v="2390"/>
    <x v="11"/>
    <x v="1"/>
    <n v="26.9"/>
    <n v="53.8"/>
    <x v="87"/>
    <d v="2025-03-31T00:00:00"/>
    <x v="2"/>
    <x v="2"/>
    <x v="0"/>
    <x v="0"/>
    <x v="6"/>
    <x v="1"/>
    <x v="12"/>
    <x v="2"/>
  </r>
  <r>
    <x v="2391"/>
    <x v="1"/>
    <x v="1"/>
    <n v="82.4"/>
    <n v="164.8"/>
    <x v="87"/>
    <d v="2025-04-01T00:00:00"/>
    <x v="0"/>
    <x v="0"/>
    <x v="0"/>
    <x v="0"/>
    <x v="7"/>
    <x v="2"/>
    <x v="12"/>
    <x v="0"/>
  </r>
  <r>
    <x v="2392"/>
    <x v="2"/>
    <x v="1"/>
    <n v="117.8"/>
    <n v="235.6"/>
    <x v="87"/>
    <d v="2025-03-31T00:00:00"/>
    <x v="1"/>
    <x v="1"/>
    <x v="2"/>
    <x v="0"/>
    <x v="8"/>
    <x v="1"/>
    <x v="12"/>
    <x v="1"/>
  </r>
  <r>
    <x v="2393"/>
    <x v="11"/>
    <x v="12"/>
    <n v="36.700000000000003"/>
    <n v="146.80000000000001"/>
    <x v="87"/>
    <d v="2025-03-30T00:00:00"/>
    <x v="1"/>
    <x v="1"/>
    <x v="0"/>
    <x v="0"/>
    <x v="8"/>
    <x v="3"/>
    <x v="12"/>
    <x v="1"/>
  </r>
  <r>
    <x v="2394"/>
    <x v="17"/>
    <x v="2"/>
    <n v="46.8"/>
    <n v="140.39999999999998"/>
    <x v="87"/>
    <d v="2025-03-30T00:00:00"/>
    <x v="1"/>
    <x v="4"/>
    <x v="2"/>
    <x v="0"/>
    <x v="10"/>
    <x v="3"/>
    <x v="12"/>
    <x v="1"/>
  </r>
  <r>
    <x v="2395"/>
    <x v="3"/>
    <x v="0"/>
    <n v="61.4"/>
    <n v="61.4"/>
    <x v="87"/>
    <d v="2025-03-30T00:00:00"/>
    <x v="1"/>
    <x v="1"/>
    <x v="0"/>
    <x v="0"/>
    <x v="10"/>
    <x v="3"/>
    <x v="12"/>
    <x v="1"/>
  </r>
  <r>
    <x v="2396"/>
    <x v="15"/>
    <x v="1"/>
    <n v="22.9"/>
    <n v="45.8"/>
    <x v="87"/>
    <d v="2025-03-30T00:00:00"/>
    <x v="1"/>
    <x v="0"/>
    <x v="0"/>
    <x v="0"/>
    <x v="11"/>
    <x v="3"/>
    <x v="12"/>
    <x v="1"/>
  </r>
  <r>
    <x v="2397"/>
    <x v="10"/>
    <x v="1"/>
    <n v="22.1"/>
    <n v="44.2"/>
    <x v="87"/>
    <d v="2025-03-30T00:00:00"/>
    <x v="2"/>
    <x v="4"/>
    <x v="0"/>
    <x v="0"/>
    <x v="11"/>
    <x v="3"/>
    <x v="12"/>
    <x v="2"/>
  </r>
  <r>
    <x v="2398"/>
    <x v="12"/>
    <x v="1"/>
    <n v="31"/>
    <n v="62"/>
    <x v="87"/>
    <d v="2025-03-31T00:00:00"/>
    <x v="2"/>
    <x v="2"/>
    <x v="0"/>
    <x v="0"/>
    <x v="18"/>
    <x v="1"/>
    <x v="12"/>
    <x v="2"/>
  </r>
  <r>
    <x v="2399"/>
    <x v="18"/>
    <x v="1"/>
    <n v="84.2"/>
    <n v="168.4"/>
    <x v="87"/>
    <d v="2025-03-31T00:00:00"/>
    <x v="1"/>
    <x v="2"/>
    <x v="2"/>
    <x v="0"/>
    <x v="13"/>
    <x v="1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AE8C7-DA2B-498D-94DC-39CCEEBC13D1}" name="Tabela przestawna5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8">
  <location ref="A56:F78" firstHeaderRow="1" firstDataRow="2" firstDataCol="1"/>
  <pivotFields count="18">
    <pivotField showAll="0"/>
    <pivotField axis="axisRow"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>
      <items count="5">
        <item x="0"/>
        <item x="2"/>
        <item x="1"/>
        <item x="3"/>
        <item t="default"/>
      </items>
    </pivotField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1">
    <i>
      <x v="18"/>
    </i>
    <i>
      <x v="6"/>
    </i>
    <i>
      <x v="13"/>
    </i>
    <i>
      <x v="16"/>
    </i>
    <i>
      <x v="1"/>
    </i>
    <i>
      <x v="12"/>
    </i>
    <i>
      <x v="14"/>
    </i>
    <i>
      <x v="4"/>
    </i>
    <i>
      <x v="5"/>
    </i>
    <i>
      <x v="11"/>
    </i>
    <i>
      <x v="3"/>
    </i>
    <i>
      <x v="8"/>
    </i>
    <i>
      <x v="2"/>
    </i>
    <i>
      <x v="19"/>
    </i>
    <i>
      <x v="10"/>
    </i>
    <i>
      <x v="9"/>
    </i>
    <i>
      <x v="15"/>
    </i>
    <i>
      <x v="17"/>
    </i>
    <i>
      <x/>
    </i>
    <i>
      <x v="7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a z Quantity" fld="2" baseField="0" baseItem="0"/>
  </dataFields>
  <chartFormats count="5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4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9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9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9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9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A6C88-C8EE-4B2F-9708-3C07C6CA47A1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E4" firstHeaderRow="0" firstDataRow="1" firstDataCol="0"/>
  <pivotFields count="18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dataField="1" showAll="0"/>
    <pivotField showAll="0"/>
    <pivotField showAll="0"/>
    <pivotField dataField="1" showAll="0"/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Liczba z TX ID" fld="0" subtotal="count" baseField="0" baseItem="0"/>
    <dataField name="Suma z Quantity" fld="2" baseField="0" baseItem="0"/>
    <dataField name="Suma z Amount" fld="4" baseField="0" baseItem="0"/>
    <dataField name="Średnia z Rating C" fld="9" subtotal="average" baseField="0" baseItem="0" numFmtId="2"/>
    <dataField name="Średnia z Days to Deliver" fld="12" subtotal="average" baseField="0" baseItem="5" numFmtId="2"/>
  </dataFields>
  <formats count="1">
    <format dxfId="11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82B1A-1DF1-42CE-A408-2B96906913F7}" name="Tabela przestawna9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0">
  <location ref="A171:G176" firstHeaderRow="1" firstDataRow="2" firstDataCol="1"/>
  <pivotFields count="18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axis="axisCol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Liczba z TX ID" fld="0" subtotal="count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C7A52-33EF-45EC-906A-7508575E4F75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4">
  <location ref="A42:B50" firstHeaderRow="1" firstDataRow="1" firstDataCol="1"/>
  <pivotFields count="18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8">
        <item x="0"/>
        <item x="1"/>
        <item x="2"/>
        <item x="4"/>
        <item x="3"/>
        <item n="6 TO 10" x="5"/>
        <item n="MORE THAN 10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Liczba z TX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B2C78-1023-469C-A21F-0B125843668D}" name="Tabela przestawna8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A151:B167" firstHeaderRow="1" firstDataRow="1" firstDataCol="1"/>
  <pivotFields count="18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>
      <items count="59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t="default"/>
      </items>
    </pivotField>
    <pivotField axis="axisRow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Liczba z TX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4F3E5-7E9D-455F-B6B2-A2DF356678B7}" name="Tabela przestawna7" cacheId="0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compact="0" compactData="0" multipleFieldFilters="0">
  <location ref="A89:D147" firstHeaderRow="0" firstDataRow="1" firstDataCol="2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8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0"/>
        <item x="3"/>
        <item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1"/>
  </rowFields>
  <rowItems count="5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</rowItems>
  <colFields count="1">
    <field x="-2"/>
  </colFields>
  <colItems count="2">
    <i>
      <x/>
    </i>
    <i i="1">
      <x v="1"/>
    </i>
  </colItems>
  <dataFields count="2">
    <dataField name="Suma z Quantity" fld="2" baseField="0" baseItem="0"/>
    <dataField name="Suma z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A22F2-076B-46C4-B722-9F076AA738FD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1">
  <location ref="A9:C23" firstHeaderRow="0" firstDataRow="1" firstDataCol="1"/>
  <pivotFields count="18">
    <pivotField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Quantity (Units)" fld="2" baseField="0" baseItem="0"/>
    <dataField name="Amount ($)" fld="4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0E471-A6BE-4CC0-88ED-65139FF50DE5}" name="Tabela przestawna6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8">
  <location ref="A80:F82" firstHeaderRow="1" firstDataRow="2" firstDataCol="1"/>
  <pivotFields count="18">
    <pivotField showAll="0"/>
    <pivotField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>
      <items count="5">
        <item x="0"/>
        <item x="2"/>
        <item x="1"/>
        <item x="3"/>
        <item t="default"/>
      </items>
    </pivotField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a z Quantity" fld="2" baseField="0" baseItem="0"/>
  </dataFields>
  <chartFormats count="1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DC7F3-12F5-4703-96C7-74615863738F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29:F36" firstHeaderRow="1" firstDataRow="2" firstDataCol="1"/>
  <pivotFields count="18">
    <pivotField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a z Amount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Gender_Value" xr10:uid="{F929FA20-EDBB-4541-AEBD-16A0F1F3B0F8}" sourceName="Gender Value">
  <pivotTables>
    <pivotTable tabId="4" name="Tabela przestawna1"/>
    <pivotTable tabId="4" name="Tabela przestawna2"/>
    <pivotTable tabId="4" name="Tabela przestawna4"/>
    <pivotTable tabId="4" name="Tabela przestawna8"/>
    <pivotTable tabId="4" name="Tabela przestawna9"/>
    <pivotTable tabId="4" name="Tabela przestawna7"/>
  </pivotTables>
  <data>
    <tabular pivotCacheId="656704988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Order_Mode" xr10:uid="{545F8A56-2184-4CFC-AFE2-3ADCA304113C}" sourceName="Order Mode">
  <pivotTables>
    <pivotTable tabId="4" name="Tabela przestawna1"/>
    <pivotTable tabId="4" name="Tabela przestawna2"/>
    <pivotTable tabId="4" name="Tabela przestawna4"/>
    <pivotTable tabId="4" name="Tabela przestawna5"/>
    <pivotTable tabId="4" name="Tabela przestawna6"/>
    <pivotTable tabId="4" name="Tabela przestawna7"/>
    <pivotTable tabId="4" name="Tabela przestawna8"/>
    <pivotTable tabId="4" name="Tabela przestawna9"/>
  </pivotTables>
  <data>
    <tabular pivotCacheId="656704988">
      <items count="5">
        <i x="0" s="1"/>
        <i x="3" s="1"/>
        <i x="4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Value" xr10:uid="{8B26F5DF-4113-425E-9F8D-C7777CE3F690}" cache="Fragmentator_Gender_Value" caption="Gender Value" style="SlicerStyleLight3" rowHeight="241300"/>
  <slicer name="Order Mode" xr10:uid="{477B8DF7-A765-456C-8F30-FBA152D944CB}" cache="Fragmentator_Order_Mode" caption="Order Mode" style="SlicerStyleLight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0C124-EB23-4A05-B1AA-4B2D892C6097}" name="orders" displayName="orders" ref="A1:O2401" totalsRowShown="0" headerRowDxfId="10">
  <autoFilter ref="A1:O2401" xr:uid="{CBC0C124-EB23-4A05-B1AA-4B2D892C6097}"/>
  <tableColumns count="15">
    <tableColumn id="1" xr3:uid="{1CDA82FB-0658-448D-8033-DCAC17EF5C86}" name="TX ID"/>
    <tableColumn id="2" xr3:uid="{E3BF7960-F8AA-485C-A768-7F917EC0E3EE}" name="Product"/>
    <tableColumn id="3" xr3:uid="{46ABCF60-F695-4182-9103-57B27132C5A6}" name="Quantity"/>
    <tableColumn id="4" xr3:uid="{FB580DF5-5CF5-4A01-AA31-80F882BD8E8D}" name="Unit Price"/>
    <tableColumn id="5" xr3:uid="{1700783E-2ECB-4823-BC90-581076BD1B5E}" name="Amount"/>
    <tableColumn id="6" xr3:uid="{96691DAB-339F-4C83-B756-DD50B70250C0}" name="Order Date" dataDxfId="16"/>
    <tableColumn id="7" xr3:uid="{FEFAA2D5-EBC9-4148-A99C-8D88312C80B4}" name="Ship Date" dataDxfId="15"/>
    <tableColumn id="8" xr3:uid="{DC0D682F-DE72-4A6A-9224-3981460B4AF0}" name="Customer Gender"/>
    <tableColumn id="9" xr3:uid="{028DF8FD-1503-488E-B0BF-BBF747E7613D}" name="Order Mode"/>
    <tableColumn id="10" xr3:uid="{18939580-BCE0-4705-A9A9-AF595DA2A8E2}" name="Rating C"/>
    <tableColumn id="15" xr3:uid="{45911899-F855-4D5C-9460-97A964F428C3}" name="State"/>
    <tableColumn id="14" xr3:uid="{0613834D-D3DB-4B61-A07B-F46B037A23A3}" name="County"/>
    <tableColumn id="11" xr3:uid="{A1F887E6-0051-429D-982D-7ACA491A1C73}" name="Days to Deliver" dataDxfId="14">
      <calculatedColumnFormula>orders[[#This Row],[Ship Date]]-orders[[#This Row],[Order Date]]</calculatedColumnFormula>
    </tableColumn>
    <tableColumn id="12" xr3:uid="{FF0D77CB-FDE4-4F34-A718-A0E84A78EC19}" name="Weeknum" dataDxfId="13">
      <calculatedColumnFormula>WEEKNUM(orders[[#This Row],[Order Date]])</calculatedColumnFormula>
    </tableColumn>
    <tableColumn id="13" xr3:uid="{3FED3369-3111-42C6-AC00-DFE7CC08C288}" name="Gender Value" dataDxfId="12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vmlDrawing" Target="../drawings/vmlDrawing1.v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01"/>
  <sheetViews>
    <sheetView workbookViewId="0">
      <selection activeCell="Q11" sqref="Q11"/>
    </sheetView>
  </sheetViews>
  <sheetFormatPr defaultRowHeight="15" x14ac:dyDescent="0.25"/>
  <cols>
    <col min="2" max="2" width="21.140625" bestFit="1" customWidth="1"/>
    <col min="3" max="3" width="8.7109375" bestFit="1" customWidth="1"/>
    <col min="4" max="4" width="9.7109375" bestFit="1" customWidth="1"/>
    <col min="5" max="5" width="8.140625" bestFit="1" customWidth="1"/>
    <col min="6" max="6" width="10.7109375" bestFit="1" customWidth="1"/>
    <col min="7" max="7" width="9.5703125" bestFit="1" customWidth="1"/>
    <col min="8" max="8" width="16.85546875" bestFit="1" customWidth="1"/>
    <col min="9" max="9" width="11.85546875" bestFit="1" customWidth="1"/>
    <col min="10" max="10" width="8.140625" bestFit="1" customWidth="1"/>
    <col min="11" max="11" width="9.5703125" bestFit="1" customWidth="1"/>
    <col min="12" max="12" width="21.85546875" bestFit="1" customWidth="1"/>
    <col min="13" max="13" width="14.42578125" bestFit="1" customWidth="1"/>
    <col min="14" max="14" width="10.28515625" bestFit="1" customWidth="1"/>
    <col min="15" max="15" width="13.42578125" bestFit="1" customWidth="1"/>
  </cols>
  <sheetData>
    <row r="1" spans="1:1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</row>
    <row r="2" spans="1:15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2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2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2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2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2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2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2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2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2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2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2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2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2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2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2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2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2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2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2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2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2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2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2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2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2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2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2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2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2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2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2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2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2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2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2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2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2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2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2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2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2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2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2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2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2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2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2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2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2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2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2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2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2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2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2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2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2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2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2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2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2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2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2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2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2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2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2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2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2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2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2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2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2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2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2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2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2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2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2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2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2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2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2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2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2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2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2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2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2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2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2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2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2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2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2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2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2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2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2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2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2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2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2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2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2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2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2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2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2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2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2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2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2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2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2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2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2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2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2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2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2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2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2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2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2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2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2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2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2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2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2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2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2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2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2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2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2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2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2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2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2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2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2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2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2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2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2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2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2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2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2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2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2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2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2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2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2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2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2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2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2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2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2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2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2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2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2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2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2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2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2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2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2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2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2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2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2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2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2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2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2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2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2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2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2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2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2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2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2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2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2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2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2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2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2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2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2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2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2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2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2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2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2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2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2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2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2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2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2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2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2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2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2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2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2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2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2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2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2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2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2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2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2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2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2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2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2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2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2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2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2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2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2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2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2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2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2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2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2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2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2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2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2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2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2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2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2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2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2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2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2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2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2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2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2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2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2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2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2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2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2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2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2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2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2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2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2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2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2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2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2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2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2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2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2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2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2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2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2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2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2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2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2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2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2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2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2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2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2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2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2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2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2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2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2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2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2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2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2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2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2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2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2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2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2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2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2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2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2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2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2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2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2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2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2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2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2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2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2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2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2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2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2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2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2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2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2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2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2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2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2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2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2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2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2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2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2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2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2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2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2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2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2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2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2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2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2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2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2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2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2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2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2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2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2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2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2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2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2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2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2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2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2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2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2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2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2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2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2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2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2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2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2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2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2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2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2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2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2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2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2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2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2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2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2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2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2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2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2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2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2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2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2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2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2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2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2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2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2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2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2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2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2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2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2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2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2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2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2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2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2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2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2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2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2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2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2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2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2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2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2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2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2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2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2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2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2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2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2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2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2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2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2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2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2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2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2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2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2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2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2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2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2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2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2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2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2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2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2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2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2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2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2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2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2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2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2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2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2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2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2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2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2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2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2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2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2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2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2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2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2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2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2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2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2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2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2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2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2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2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2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2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2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2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2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2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2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2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2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2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2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2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2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2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2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2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2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2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2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2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2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2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2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2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2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2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2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2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2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2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2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2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2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2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2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2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2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2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2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2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2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2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2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2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2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2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2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2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2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2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2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2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2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2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2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2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2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2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2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2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2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2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2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2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2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2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2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2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2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2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2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2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2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2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2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2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2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2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2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2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2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2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2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2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2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2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2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2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2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2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2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2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2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2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2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2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2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2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2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2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2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2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2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2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2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2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2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2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2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2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2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2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2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2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2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2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2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2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2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2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2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2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2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2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2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2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2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2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2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2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2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2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2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2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2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2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2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2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2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2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2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2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2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2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2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2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2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2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2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2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2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2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2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2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2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2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2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2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2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2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2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2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2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2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2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2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2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2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2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2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2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2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2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2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2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2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2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2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2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2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2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2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2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2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2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2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2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2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2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2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2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2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2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2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2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2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2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2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2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2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2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2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2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2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2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2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2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2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2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2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2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2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2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2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2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2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2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2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2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2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2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2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2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2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2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2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2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2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2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2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2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2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2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2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2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2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2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2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2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2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2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2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2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2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2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2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2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2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2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2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2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2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2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2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2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2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2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2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2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2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2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2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2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2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2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2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2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2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2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2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2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2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2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2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2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2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2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2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2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2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2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2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2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2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2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2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2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2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2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2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2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2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2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2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2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2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2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2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2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2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2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2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2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2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2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2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2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2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2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2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2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2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2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2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2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2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2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2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2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2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2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2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2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2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2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2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2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2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2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2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2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2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2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2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2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2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2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2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2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2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2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2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2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2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2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2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2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2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2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2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2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2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2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2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2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2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2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2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2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2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2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2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2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2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2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2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2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2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2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2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2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2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2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2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2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2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2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2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2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2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2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2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2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2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2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2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2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2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2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2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2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2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2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2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2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2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2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2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2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2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2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2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2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2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2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2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2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2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2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2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2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2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2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2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2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2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2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2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2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2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2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2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2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2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2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2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2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2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2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2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2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2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2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2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2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2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2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2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2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2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2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2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2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2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2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2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2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2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2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2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2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2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2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2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2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2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2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2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2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2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2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2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2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2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2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2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2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2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2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2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2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2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2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2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2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2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2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2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2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2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2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2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2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2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2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2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2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2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2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2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2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2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2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2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2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2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2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2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2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2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2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2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2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2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2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2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2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2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2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2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2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2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2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2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2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2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2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2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2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2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2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2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2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2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2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2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2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2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2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2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2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2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2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2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2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2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2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2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2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2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2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2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2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2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2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2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2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2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2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2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2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2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2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2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2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2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2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2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2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2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2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2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2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2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2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2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2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2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2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2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2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2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2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2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2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2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2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2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2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2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2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2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2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2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2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2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2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2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2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2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2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2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2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2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2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2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2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2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2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2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2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2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2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2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2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2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2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2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2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2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2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2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2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2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2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2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2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2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2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2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2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2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2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2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2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2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2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2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2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2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2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2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2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2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2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2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2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2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2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2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2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2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2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2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2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2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2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2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2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2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2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2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2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2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2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2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2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2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2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2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2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2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2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2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2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2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2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2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2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2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2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2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2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2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2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2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2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2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2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2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2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2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2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2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2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2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2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2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2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2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2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2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2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2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2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2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2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2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2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2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2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2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2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2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2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2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2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2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2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2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2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2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2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2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2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2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2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2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2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2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2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2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2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2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2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2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2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2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2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2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2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2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2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2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2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2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2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2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2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2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2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2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2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2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2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2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2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2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2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2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2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2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2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2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2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2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2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2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2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2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2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2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2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2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2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2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2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2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2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2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2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2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2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2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2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2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2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2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2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2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2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2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2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2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2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2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2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2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2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2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2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2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2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2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2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2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2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2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2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2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2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2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2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2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2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2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2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2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2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2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2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2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2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2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2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2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2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2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2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2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2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2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2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2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2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2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2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2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2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2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2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2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2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2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2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2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2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2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2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2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2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2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2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2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2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2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2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2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2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2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2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2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2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2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2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2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2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2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2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2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2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2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2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2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2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2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2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2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2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2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2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2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2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2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2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2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2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2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2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2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2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2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2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2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2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2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2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2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2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2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2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2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2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2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2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2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2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2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2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2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2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2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2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2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2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2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2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2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2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2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2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2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2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2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2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2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2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2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2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2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2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2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2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2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2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2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2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2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2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2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2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2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2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2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2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2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2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2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2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2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2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2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2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2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2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2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2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2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2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2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2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2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2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2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2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2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2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2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2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2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2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2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2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2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2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2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2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2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2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2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2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2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2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2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2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2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2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2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2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2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2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2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2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2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2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2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2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2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2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2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2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2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2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2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2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2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2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2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2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2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2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2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2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2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2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2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2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2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2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2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2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2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2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2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2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2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2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2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2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2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2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2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2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2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2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2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2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2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2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2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2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2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2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2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2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2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2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2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2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2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2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2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2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2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2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2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2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2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2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2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2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2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2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2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2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2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2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2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2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2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2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2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2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2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2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2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2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2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2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2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2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2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2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2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2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2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2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2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2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2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2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2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2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2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2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2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2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2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2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2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2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2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2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2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2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2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2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2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2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2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2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2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2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2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2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2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2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2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2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2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2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2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2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2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2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2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2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2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2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2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2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2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2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2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2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2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2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2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2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2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2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2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2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2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2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2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2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2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2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2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2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2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2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2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2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2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2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2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2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2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2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2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2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2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2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2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2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2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2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2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2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2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2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2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2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2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2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2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2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2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2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2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2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2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2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2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2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2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2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2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2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2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2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2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2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2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2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2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2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2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2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2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2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2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2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2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2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2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2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2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2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2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2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2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2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2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2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2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2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2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2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2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2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2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2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2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2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2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2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2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2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2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2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2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2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2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2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2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2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2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2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2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2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2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2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2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2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2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2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2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2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2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2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2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2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2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2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2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2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2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2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2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2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2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2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2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2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2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2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2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2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2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2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2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2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2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2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2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2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2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2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2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2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2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2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2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2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2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2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2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2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2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2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2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2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2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2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2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2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2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2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2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2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2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2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2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2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2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2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2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2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2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2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2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2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2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2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2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2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2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2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2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2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2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2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2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2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2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2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2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2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2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2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2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2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2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2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2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2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2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2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2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2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2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2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2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2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2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2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2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2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2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2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2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2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2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2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2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2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2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2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2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2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2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2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2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2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2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2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2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2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2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2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2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2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2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2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2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2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2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2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2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2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2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2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2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2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2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2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2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2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2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2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2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2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2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2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2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2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2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2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2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2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2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2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2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2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2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2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2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2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2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2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2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2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2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2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2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2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2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2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2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2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2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2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2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2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2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2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2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2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2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2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2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2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2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2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2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2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2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2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2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2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2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2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2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2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2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2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2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2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2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2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2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2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2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2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2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2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2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2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2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2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2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2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2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2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2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2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2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2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2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2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2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2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2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2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2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2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2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2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2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2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2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2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2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2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2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2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2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2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2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2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2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2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2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2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2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2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2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2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2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2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2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2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2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2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2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2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2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2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2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2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2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2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2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2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2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2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2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2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2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2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2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2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2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2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2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2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2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2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2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2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2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2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2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2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2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2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2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2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2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2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2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2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2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2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2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2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2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2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2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2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2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2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2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2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2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2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2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2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2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2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2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2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2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2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2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2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2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2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2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2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2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2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2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2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2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2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2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2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2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2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2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2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2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2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2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2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2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2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2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2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2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2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2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2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2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2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2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2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2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2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2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2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2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2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2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2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2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2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2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2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2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2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2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2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2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2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2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2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2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2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2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2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2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2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2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2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2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2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2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2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2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2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2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2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2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2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2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2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2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2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2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2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2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2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2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2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2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2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2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2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2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2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2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2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2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2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2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2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2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2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2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2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2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2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2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2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2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2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2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2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2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2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2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2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2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2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2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2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2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2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2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2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2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2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2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2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2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2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2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2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2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2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2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2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2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2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2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2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2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2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2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2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2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2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2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2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2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2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2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2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2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2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2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2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2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2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2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2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2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2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2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2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2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2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2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2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2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2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2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2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2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2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2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2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2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2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2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2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2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2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2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2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2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2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2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2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2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2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2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2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2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2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2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2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2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2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2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2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2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2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2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2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2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2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2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2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2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2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2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2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2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2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2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2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2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2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2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2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2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2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2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2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2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2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2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2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2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2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2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2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2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2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2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2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2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2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2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2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2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2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2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2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2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2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2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2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2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2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2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2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2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2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2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2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2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2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2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2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2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2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2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2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2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2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2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2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2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2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2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2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2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2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2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2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2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2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2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2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2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2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2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2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2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2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2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2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2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2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2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2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2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2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2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2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2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2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2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2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2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2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2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2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2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2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2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2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2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2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2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2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2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2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2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2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2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2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2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2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2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2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2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2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2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2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2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2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2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2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2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2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2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2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2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2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2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2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2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2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2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2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2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2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2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2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2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2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2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2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2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2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2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2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2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2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2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2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2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2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2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2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2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2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2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2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2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2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2587-F623-4653-B0F7-F65BAD8718ED}">
  <dimension ref="A1:X194"/>
  <sheetViews>
    <sheetView showGridLines="0" workbookViewId="0">
      <selection activeCell="K16" sqref="K16"/>
    </sheetView>
  </sheetViews>
  <sheetFormatPr defaultRowHeight="15" x14ac:dyDescent="0.25"/>
  <cols>
    <col min="1" max="1" width="17.7109375" bestFit="1" customWidth="1"/>
    <col min="2" max="2" width="21.85546875" bestFit="1" customWidth="1"/>
    <col min="3" max="3" width="15.42578125" bestFit="1" customWidth="1"/>
    <col min="4" max="4" width="14.85546875" bestFit="1" customWidth="1"/>
    <col min="5" max="5" width="5" bestFit="1" customWidth="1"/>
    <col min="6" max="6" width="4" bestFit="1" customWidth="1"/>
    <col min="7" max="7" width="14.28515625" bestFit="1" customWidth="1"/>
    <col min="8" max="8" width="21.85546875" bestFit="1" customWidth="1"/>
    <col min="9" max="9" width="15.42578125" bestFit="1" customWidth="1"/>
    <col min="10" max="10" width="21.42578125" bestFit="1" customWidth="1"/>
    <col min="11" max="11" width="9.5703125" bestFit="1" customWidth="1"/>
    <col min="12" max="12" width="21.85546875" bestFit="1" customWidth="1"/>
    <col min="13" max="13" width="14.85546875" bestFit="1" customWidth="1"/>
    <col min="14" max="14" width="14.140625" bestFit="1" customWidth="1"/>
    <col min="15" max="15" width="13.5703125" bestFit="1" customWidth="1"/>
    <col min="16" max="16" width="11.5703125" bestFit="1" customWidth="1"/>
    <col min="17" max="17" width="12.7109375" bestFit="1" customWidth="1"/>
    <col min="18" max="18" width="10.5703125" bestFit="1" customWidth="1"/>
    <col min="19" max="19" width="9.42578125" bestFit="1" customWidth="1"/>
    <col min="20" max="20" width="13.140625" bestFit="1" customWidth="1"/>
    <col min="21" max="21" width="7.85546875" bestFit="1" customWidth="1"/>
    <col min="22" max="22" width="14.28515625" bestFit="1" customWidth="1"/>
    <col min="23" max="32" width="8.7109375" bestFit="1" customWidth="1"/>
    <col min="33" max="60" width="8.5703125" bestFit="1" customWidth="1"/>
    <col min="61" max="89" width="9.5703125" bestFit="1" customWidth="1"/>
    <col min="90" max="90" width="14.28515625" bestFit="1" customWidth="1"/>
  </cols>
  <sheetData>
    <row r="1" spans="1:11" ht="15.75" thickBot="1" x14ac:dyDescent="0.3"/>
    <row r="2" spans="1:11" x14ac:dyDescent="0.25">
      <c r="G2" s="5" t="s">
        <v>2510</v>
      </c>
      <c r="H2" s="6"/>
      <c r="I2" s="6"/>
      <c r="J2" s="6"/>
      <c r="K2" s="7"/>
    </row>
    <row r="3" spans="1:11" x14ac:dyDescent="0.25">
      <c r="A3" t="s">
        <v>2505</v>
      </c>
      <c r="B3" t="s">
        <v>2506</v>
      </c>
      <c r="C3" t="s">
        <v>2507</v>
      </c>
      <c r="D3" t="s">
        <v>2508</v>
      </c>
      <c r="E3" t="s">
        <v>2509</v>
      </c>
      <c r="G3" s="8" t="s">
        <v>2511</v>
      </c>
      <c r="H3" t="s">
        <v>2512</v>
      </c>
      <c r="I3" t="s">
        <v>4</v>
      </c>
      <c r="J3" t="s">
        <v>2513</v>
      </c>
      <c r="K3" s="9" t="s">
        <v>2514</v>
      </c>
    </row>
    <row r="4" spans="1:11" ht="15.75" thickBot="1" x14ac:dyDescent="0.3">
      <c r="A4" s="36">
        <v>2400</v>
      </c>
      <c r="B4" s="36">
        <v>11997</v>
      </c>
      <c r="C4" s="36">
        <v>649019.80000000144</v>
      </c>
      <c r="D4" s="4">
        <v>3.9620833333333332</v>
      </c>
      <c r="E4" s="4">
        <v>2.3424999999999998</v>
      </c>
      <c r="G4" s="10" t="str">
        <f>TEXT(A4,"# ##")</f>
        <v>2 400</v>
      </c>
      <c r="H4" s="11" t="str">
        <f>TEXT(B4,"# ##")</f>
        <v>11 997</v>
      </c>
      <c r="I4" s="11" t="str">
        <f>TEXT(C4,"# ##")</f>
        <v>649 020</v>
      </c>
      <c r="J4" s="33" t="str">
        <f>TEXT(D4,"#,##")</f>
        <v>3,96</v>
      </c>
      <c r="K4" s="34" t="str">
        <f>TEXT(E4,"#,##")</f>
        <v>2,34</v>
      </c>
    </row>
    <row r="9" spans="1:11" x14ac:dyDescent="0.25">
      <c r="A9" s="2" t="s">
        <v>2503</v>
      </c>
      <c r="B9" t="s">
        <v>2526</v>
      </c>
      <c r="C9" t="s">
        <v>2525</v>
      </c>
    </row>
    <row r="10" spans="1:11" x14ac:dyDescent="0.25">
      <c r="A10" s="3">
        <v>1</v>
      </c>
      <c r="B10" s="36">
        <v>546</v>
      </c>
      <c r="C10" s="13">
        <v>32413.300000000003</v>
      </c>
    </row>
    <row r="11" spans="1:11" x14ac:dyDescent="0.25">
      <c r="A11" s="3">
        <v>2</v>
      </c>
      <c r="B11" s="36">
        <v>905</v>
      </c>
      <c r="C11" s="13">
        <v>49562.999999999993</v>
      </c>
    </row>
    <row r="12" spans="1:11" x14ac:dyDescent="0.25">
      <c r="A12" s="3">
        <v>3</v>
      </c>
      <c r="B12" s="36">
        <v>796</v>
      </c>
      <c r="C12" s="13">
        <v>41700.400000000016</v>
      </c>
    </row>
    <row r="13" spans="1:11" x14ac:dyDescent="0.25">
      <c r="A13" s="3">
        <v>4</v>
      </c>
      <c r="B13" s="36">
        <v>913</v>
      </c>
      <c r="C13" s="13">
        <v>46782.599999999984</v>
      </c>
    </row>
    <row r="14" spans="1:11" x14ac:dyDescent="0.25">
      <c r="A14" s="3">
        <v>5</v>
      </c>
      <c r="B14" s="36">
        <v>844</v>
      </c>
      <c r="C14" s="13">
        <v>42676.100000000006</v>
      </c>
    </row>
    <row r="15" spans="1:11" x14ac:dyDescent="0.25">
      <c r="A15" s="3">
        <v>6</v>
      </c>
      <c r="B15" s="36">
        <v>1202</v>
      </c>
      <c r="C15" s="13">
        <v>62910.7</v>
      </c>
    </row>
    <row r="16" spans="1:11" x14ac:dyDescent="0.25">
      <c r="A16" s="3">
        <v>7</v>
      </c>
      <c r="B16" s="36">
        <v>935</v>
      </c>
      <c r="C16" s="13">
        <v>50332.200000000004</v>
      </c>
    </row>
    <row r="17" spans="1:13" x14ac:dyDescent="0.25">
      <c r="A17" s="3">
        <v>8</v>
      </c>
      <c r="B17" s="36">
        <v>1128</v>
      </c>
      <c r="C17" s="13">
        <v>58760.599999999977</v>
      </c>
    </row>
    <row r="18" spans="1:13" x14ac:dyDescent="0.25">
      <c r="A18" s="3">
        <v>9</v>
      </c>
      <c r="B18" s="36">
        <v>1007</v>
      </c>
      <c r="C18" s="13">
        <v>52017.299999999996</v>
      </c>
    </row>
    <row r="19" spans="1:13" x14ac:dyDescent="0.25">
      <c r="A19" s="3">
        <v>10</v>
      </c>
      <c r="B19" s="36">
        <v>1128</v>
      </c>
      <c r="C19" s="13">
        <v>64915.700000000033</v>
      </c>
    </row>
    <row r="20" spans="1:13" x14ac:dyDescent="0.25">
      <c r="A20" s="3">
        <v>11</v>
      </c>
      <c r="B20" s="36">
        <v>861</v>
      </c>
      <c r="C20" s="13">
        <v>45943.80000000001</v>
      </c>
    </row>
    <row r="21" spans="1:13" x14ac:dyDescent="0.25">
      <c r="A21" s="3">
        <v>12</v>
      </c>
      <c r="B21" s="36">
        <v>944</v>
      </c>
      <c r="C21" s="13">
        <v>55077.900000000031</v>
      </c>
    </row>
    <row r="22" spans="1:13" x14ac:dyDescent="0.25">
      <c r="A22" s="3">
        <v>13</v>
      </c>
      <c r="B22" s="36">
        <v>788</v>
      </c>
      <c r="C22" s="13">
        <v>45926.19999999999</v>
      </c>
    </row>
    <row r="23" spans="1:13" x14ac:dyDescent="0.25">
      <c r="A23" s="3" t="s">
        <v>2504</v>
      </c>
      <c r="B23" s="36">
        <v>11997</v>
      </c>
      <c r="C23" s="13">
        <v>649019.79999999993</v>
      </c>
    </row>
    <row r="29" spans="1:13" x14ac:dyDescent="0.25">
      <c r="A29" s="2" t="s">
        <v>2507</v>
      </c>
      <c r="B29" s="2" t="s">
        <v>2519</v>
      </c>
    </row>
    <row r="30" spans="1:13" ht="15" customHeight="1" x14ac:dyDescent="0.25">
      <c r="A30" s="2" t="s">
        <v>2503</v>
      </c>
      <c r="B30" t="s">
        <v>2515</v>
      </c>
      <c r="C30" t="s">
        <v>2516</v>
      </c>
      <c r="D30" t="s">
        <v>2517</v>
      </c>
      <c r="E30" t="s">
        <v>2518</v>
      </c>
      <c r="F30" t="s">
        <v>2504</v>
      </c>
    </row>
    <row r="31" spans="1:13" ht="15" customHeight="1" x14ac:dyDescent="0.25">
      <c r="A31" s="3" t="s">
        <v>18</v>
      </c>
      <c r="B31" s="15">
        <v>0.18961825201634841</v>
      </c>
      <c r="C31" s="15">
        <v>0.12262322351336576</v>
      </c>
      <c r="D31" s="15">
        <v>1.060537752469185E-2</v>
      </c>
      <c r="E31" s="15">
        <v>3.0599220547662797E-2</v>
      </c>
      <c r="F31" s="15">
        <v>0.35344607360206881</v>
      </c>
      <c r="M31" s="16"/>
    </row>
    <row r="32" spans="1:13" ht="15" customHeight="1" x14ac:dyDescent="0.25">
      <c r="A32" s="3" t="s">
        <v>51</v>
      </c>
      <c r="B32" s="15">
        <v>5.0283982091147303E-2</v>
      </c>
      <c r="C32" s="15">
        <v>4.3060781812819873E-2</v>
      </c>
      <c r="D32" s="15">
        <v>1.5320025675641944E-3</v>
      </c>
      <c r="E32" s="15">
        <v>1.7794988689097006E-2</v>
      </c>
      <c r="F32" s="15">
        <v>0.11267175516062837</v>
      </c>
      <c r="M32" s="16"/>
    </row>
    <row r="33" spans="1:13" ht="15" customHeight="1" x14ac:dyDescent="0.25">
      <c r="A33" s="3" t="s">
        <v>70</v>
      </c>
      <c r="B33" s="15">
        <v>6.3496059750411282E-2</v>
      </c>
      <c r="C33" s="15">
        <v>4.6071629863988765E-2</v>
      </c>
      <c r="D33" s="15">
        <v>2.306247051322625E-3</v>
      </c>
      <c r="E33" s="15">
        <v>3.8927934093844286E-3</v>
      </c>
      <c r="F33" s="15">
        <v>0.11576673007510711</v>
      </c>
      <c r="M33" s="16"/>
    </row>
    <row r="34" spans="1:13" ht="15" customHeight="1" x14ac:dyDescent="0.25">
      <c r="A34" s="3" t="s">
        <v>40</v>
      </c>
      <c r="B34" s="15">
        <v>9.6337892927149532E-2</v>
      </c>
      <c r="C34" s="15">
        <v>6.7920115842382611E-2</v>
      </c>
      <c r="D34" s="15">
        <v>5.4979832664581261E-3</v>
      </c>
      <c r="E34" s="15">
        <v>1.2933041488102518E-2</v>
      </c>
      <c r="F34" s="15">
        <v>0.1826890335240928</v>
      </c>
      <c r="M34" s="16"/>
    </row>
    <row r="35" spans="1:13" ht="15" customHeight="1" x14ac:dyDescent="0.25">
      <c r="A35" s="3" t="s">
        <v>35</v>
      </c>
      <c r="B35" s="15">
        <v>0.12522098709469262</v>
      </c>
      <c r="C35" s="15">
        <v>9.1492740283116228E-2</v>
      </c>
      <c r="D35" s="15">
        <v>6.3042760790965081E-3</v>
      </c>
      <c r="E35" s="15">
        <v>1.2408404181197551E-2</v>
      </c>
      <c r="F35" s="15">
        <v>0.23542640763810288</v>
      </c>
      <c r="M35" s="16"/>
    </row>
    <row r="36" spans="1:13" x14ac:dyDescent="0.25">
      <c r="A36" s="3" t="s">
        <v>2504</v>
      </c>
      <c r="B36" s="15">
        <v>0.52495717387974916</v>
      </c>
      <c r="C36" s="15">
        <v>0.3711684913156732</v>
      </c>
      <c r="D36" s="15">
        <v>2.6245886489133303E-2</v>
      </c>
      <c r="E36" s="15">
        <v>7.7628448315444312E-2</v>
      </c>
      <c r="F36" s="15">
        <v>1</v>
      </c>
    </row>
    <row r="42" spans="1:13" x14ac:dyDescent="0.25">
      <c r="A42" s="2" t="s">
        <v>2503</v>
      </c>
      <c r="B42" t="s">
        <v>2505</v>
      </c>
    </row>
    <row r="43" spans="1:13" x14ac:dyDescent="0.25">
      <c r="A43" s="3">
        <v>1</v>
      </c>
      <c r="B43" s="36">
        <v>397</v>
      </c>
    </row>
    <row r="44" spans="1:13" x14ac:dyDescent="0.25">
      <c r="A44" s="3">
        <v>2</v>
      </c>
      <c r="B44" s="36">
        <v>540</v>
      </c>
    </row>
    <row r="45" spans="1:13" x14ac:dyDescent="0.25">
      <c r="A45" s="3">
        <v>3</v>
      </c>
      <c r="B45" s="36">
        <v>375</v>
      </c>
    </row>
    <row r="46" spans="1:13" x14ac:dyDescent="0.25">
      <c r="A46" s="3">
        <v>4</v>
      </c>
      <c r="B46" s="36">
        <v>246</v>
      </c>
    </row>
    <row r="47" spans="1:13" x14ac:dyDescent="0.25">
      <c r="A47" s="3">
        <v>5</v>
      </c>
      <c r="B47" s="36">
        <v>195</v>
      </c>
    </row>
    <row r="48" spans="1:13" x14ac:dyDescent="0.25">
      <c r="A48" s="3" t="s">
        <v>2520</v>
      </c>
      <c r="B48" s="36">
        <v>414</v>
      </c>
    </row>
    <row r="49" spans="1:6" x14ac:dyDescent="0.25">
      <c r="A49" s="3" t="s">
        <v>2521</v>
      </c>
      <c r="B49" s="36">
        <v>233</v>
      </c>
    </row>
    <row r="50" spans="1:6" x14ac:dyDescent="0.25">
      <c r="A50" s="3" t="s">
        <v>2504</v>
      </c>
      <c r="B50" s="36">
        <v>2400</v>
      </c>
    </row>
    <row r="56" spans="1:6" x14ac:dyDescent="0.25">
      <c r="A56" s="2" t="s">
        <v>2506</v>
      </c>
      <c r="B56" s="2" t="s">
        <v>2519</v>
      </c>
    </row>
    <row r="57" spans="1:6" x14ac:dyDescent="0.25">
      <c r="A57" s="2" t="s">
        <v>2503</v>
      </c>
      <c r="B57" t="s">
        <v>2515</v>
      </c>
      <c r="C57" t="s">
        <v>2516</v>
      </c>
      <c r="D57" t="s">
        <v>2517</v>
      </c>
      <c r="E57" t="s">
        <v>2518</v>
      </c>
      <c r="F57" t="s">
        <v>2504</v>
      </c>
    </row>
    <row r="58" spans="1:6" x14ac:dyDescent="0.25">
      <c r="A58" s="3" t="s">
        <v>44</v>
      </c>
      <c r="B58" s="36">
        <v>744</v>
      </c>
      <c r="C58" s="36">
        <v>713</v>
      </c>
      <c r="D58" s="36">
        <v>90</v>
      </c>
      <c r="E58" s="36">
        <v>98</v>
      </c>
      <c r="F58" s="36">
        <v>1645</v>
      </c>
    </row>
    <row r="59" spans="1:6" x14ac:dyDescent="0.25">
      <c r="A59" s="3" t="s">
        <v>39</v>
      </c>
      <c r="B59" s="36">
        <v>716</v>
      </c>
      <c r="C59" s="36">
        <v>598</v>
      </c>
      <c r="D59" s="36">
        <v>18</v>
      </c>
      <c r="E59" s="36">
        <v>214</v>
      </c>
      <c r="F59" s="36">
        <v>1546</v>
      </c>
    </row>
    <row r="60" spans="1:6" x14ac:dyDescent="0.25">
      <c r="A60" s="3" t="s">
        <v>26</v>
      </c>
      <c r="B60" s="36">
        <v>627</v>
      </c>
      <c r="C60" s="36">
        <v>393</v>
      </c>
      <c r="D60" s="36">
        <v>29</v>
      </c>
      <c r="E60" s="36">
        <v>137</v>
      </c>
      <c r="F60" s="36">
        <v>1186</v>
      </c>
    </row>
    <row r="61" spans="1:6" x14ac:dyDescent="0.25">
      <c r="A61" s="3" t="s">
        <v>22</v>
      </c>
      <c r="B61" s="36">
        <v>568</v>
      </c>
      <c r="C61" s="36">
        <v>306</v>
      </c>
      <c r="D61" s="36">
        <v>22</v>
      </c>
      <c r="E61" s="36">
        <v>16</v>
      </c>
      <c r="F61" s="36">
        <v>912</v>
      </c>
    </row>
    <row r="62" spans="1:6" x14ac:dyDescent="0.25">
      <c r="A62" s="3" t="s">
        <v>54</v>
      </c>
      <c r="B62" s="36">
        <v>482</v>
      </c>
      <c r="C62" s="36">
        <v>295</v>
      </c>
      <c r="D62" s="36">
        <v>8</v>
      </c>
      <c r="E62" s="36">
        <v>22</v>
      </c>
      <c r="F62" s="36">
        <v>807</v>
      </c>
    </row>
    <row r="63" spans="1:6" x14ac:dyDescent="0.25">
      <c r="A63" s="3" t="s">
        <v>16</v>
      </c>
      <c r="B63" s="36">
        <v>428</v>
      </c>
      <c r="C63" s="36">
        <v>293</v>
      </c>
      <c r="D63" s="36"/>
      <c r="E63" s="36">
        <v>24</v>
      </c>
      <c r="F63" s="36">
        <v>745</v>
      </c>
    </row>
    <row r="64" spans="1:6" x14ac:dyDescent="0.25">
      <c r="A64" s="3" t="s">
        <v>46</v>
      </c>
      <c r="B64" s="36">
        <v>445</v>
      </c>
      <c r="C64" s="36">
        <v>202</v>
      </c>
      <c r="D64" s="36">
        <v>14</v>
      </c>
      <c r="E64" s="36">
        <v>39</v>
      </c>
      <c r="F64" s="36">
        <v>700</v>
      </c>
    </row>
    <row r="65" spans="1:6" x14ac:dyDescent="0.25">
      <c r="A65" s="3" t="s">
        <v>32</v>
      </c>
      <c r="B65" s="36">
        <v>431</v>
      </c>
      <c r="C65" s="36">
        <v>187</v>
      </c>
      <c r="D65" s="36">
        <v>14</v>
      </c>
      <c r="E65" s="36">
        <v>15</v>
      </c>
      <c r="F65" s="36">
        <v>647</v>
      </c>
    </row>
    <row r="66" spans="1:6" x14ac:dyDescent="0.25">
      <c r="A66" s="3" t="s">
        <v>42</v>
      </c>
      <c r="B66" s="36">
        <v>264</v>
      </c>
      <c r="C66" s="36">
        <v>318</v>
      </c>
      <c r="D66" s="36">
        <v>15</v>
      </c>
      <c r="E66" s="36">
        <v>9</v>
      </c>
      <c r="F66" s="36">
        <v>606</v>
      </c>
    </row>
    <row r="67" spans="1:6" x14ac:dyDescent="0.25">
      <c r="A67" s="3" t="s">
        <v>37</v>
      </c>
      <c r="B67" s="36">
        <v>296</v>
      </c>
      <c r="C67" s="36">
        <v>275</v>
      </c>
      <c r="D67" s="36">
        <v>9</v>
      </c>
      <c r="E67" s="36">
        <v>23</v>
      </c>
      <c r="F67" s="36">
        <v>603</v>
      </c>
    </row>
    <row r="68" spans="1:6" x14ac:dyDescent="0.25">
      <c r="A68" s="3" t="s">
        <v>123</v>
      </c>
      <c r="B68" s="36">
        <v>153</v>
      </c>
      <c r="C68" s="36">
        <v>246</v>
      </c>
      <c r="D68" s="36">
        <v>30</v>
      </c>
      <c r="E68" s="36">
        <v>8</v>
      </c>
      <c r="F68" s="36">
        <v>437</v>
      </c>
    </row>
    <row r="69" spans="1:6" x14ac:dyDescent="0.25">
      <c r="A69" s="3" t="s">
        <v>146</v>
      </c>
      <c r="B69" s="36">
        <v>189</v>
      </c>
      <c r="C69" s="36">
        <v>168</v>
      </c>
      <c r="D69" s="36">
        <v>10</v>
      </c>
      <c r="E69" s="36">
        <v>31</v>
      </c>
      <c r="F69" s="36">
        <v>398</v>
      </c>
    </row>
    <row r="70" spans="1:6" x14ac:dyDescent="0.25">
      <c r="A70" s="3" t="s">
        <v>69</v>
      </c>
      <c r="B70" s="36">
        <v>234</v>
      </c>
      <c r="C70" s="36">
        <v>93</v>
      </c>
      <c r="D70" s="36">
        <v>19</v>
      </c>
      <c r="E70" s="36">
        <v>24</v>
      </c>
      <c r="F70" s="36">
        <v>370</v>
      </c>
    </row>
    <row r="71" spans="1:6" x14ac:dyDescent="0.25">
      <c r="A71" s="3" t="s">
        <v>30</v>
      </c>
      <c r="B71" s="36">
        <v>146</v>
      </c>
      <c r="C71" s="36">
        <v>94</v>
      </c>
      <c r="D71" s="36">
        <v>4</v>
      </c>
      <c r="E71" s="36">
        <v>28</v>
      </c>
      <c r="F71" s="36">
        <v>272</v>
      </c>
    </row>
    <row r="72" spans="1:6" x14ac:dyDescent="0.25">
      <c r="A72" s="3" t="s">
        <v>135</v>
      </c>
      <c r="B72" s="36">
        <v>127</v>
      </c>
      <c r="C72" s="36">
        <v>118</v>
      </c>
      <c r="D72" s="36">
        <v>13</v>
      </c>
      <c r="E72" s="36">
        <v>12</v>
      </c>
      <c r="F72" s="36">
        <v>270</v>
      </c>
    </row>
    <row r="73" spans="1:6" x14ac:dyDescent="0.25">
      <c r="A73" s="3" t="s">
        <v>67</v>
      </c>
      <c r="B73" s="36">
        <v>179</v>
      </c>
      <c r="C73" s="36">
        <v>76</v>
      </c>
      <c r="D73" s="36">
        <v>3</v>
      </c>
      <c r="E73" s="36"/>
      <c r="F73" s="36">
        <v>258</v>
      </c>
    </row>
    <row r="74" spans="1:6" x14ac:dyDescent="0.25">
      <c r="A74" s="3" t="s">
        <v>128</v>
      </c>
      <c r="B74" s="36">
        <v>99</v>
      </c>
      <c r="C74" s="36">
        <v>69</v>
      </c>
      <c r="D74" s="36">
        <v>3</v>
      </c>
      <c r="E74" s="36">
        <v>24</v>
      </c>
      <c r="F74" s="36">
        <v>195</v>
      </c>
    </row>
    <row r="75" spans="1:6" x14ac:dyDescent="0.25">
      <c r="A75" s="3" t="s">
        <v>76</v>
      </c>
      <c r="B75" s="36">
        <v>75</v>
      </c>
      <c r="C75" s="36">
        <v>103</v>
      </c>
      <c r="D75" s="36">
        <v>4</v>
      </c>
      <c r="E75" s="36">
        <v>6</v>
      </c>
      <c r="F75" s="36">
        <v>188</v>
      </c>
    </row>
    <row r="76" spans="1:6" x14ac:dyDescent="0.25">
      <c r="A76" s="3" t="s">
        <v>81</v>
      </c>
      <c r="B76" s="36">
        <v>43</v>
      </c>
      <c r="C76" s="36">
        <v>90</v>
      </c>
      <c r="D76" s="36">
        <v>8</v>
      </c>
      <c r="E76" s="36">
        <v>6</v>
      </c>
      <c r="F76" s="36">
        <v>147</v>
      </c>
    </row>
    <row r="77" spans="1:6" x14ac:dyDescent="0.25">
      <c r="A77" s="3" t="s">
        <v>171</v>
      </c>
      <c r="B77" s="36">
        <v>26</v>
      </c>
      <c r="C77" s="36">
        <v>35</v>
      </c>
      <c r="D77" s="36">
        <v>4</v>
      </c>
      <c r="E77" s="36"/>
      <c r="F77" s="36">
        <v>65</v>
      </c>
    </row>
    <row r="78" spans="1:6" x14ac:dyDescent="0.25">
      <c r="A78" s="3" t="s">
        <v>2504</v>
      </c>
      <c r="B78" s="36">
        <v>6272</v>
      </c>
      <c r="C78" s="36">
        <v>4672</v>
      </c>
      <c r="D78" s="36">
        <v>317</v>
      </c>
      <c r="E78" s="36">
        <v>736</v>
      </c>
      <c r="F78" s="36">
        <v>11997</v>
      </c>
    </row>
    <row r="80" spans="1:6" x14ac:dyDescent="0.25">
      <c r="B80" s="2" t="s">
        <v>2519</v>
      </c>
    </row>
    <row r="81" spans="1:13" x14ac:dyDescent="0.25">
      <c r="B81" t="s">
        <v>2515</v>
      </c>
      <c r="C81" t="s">
        <v>2516</v>
      </c>
      <c r="D81" t="s">
        <v>2517</v>
      </c>
      <c r="E81" t="s">
        <v>2518</v>
      </c>
      <c r="F81" t="s">
        <v>2504</v>
      </c>
    </row>
    <row r="82" spans="1:13" x14ac:dyDescent="0.25">
      <c r="A82" t="s">
        <v>2506</v>
      </c>
      <c r="B82" s="36">
        <v>6272</v>
      </c>
      <c r="C82" s="36">
        <v>4672</v>
      </c>
      <c r="D82" s="36">
        <v>317</v>
      </c>
      <c r="E82" s="36">
        <v>736</v>
      </c>
      <c r="F82" s="36">
        <v>11997</v>
      </c>
    </row>
    <row r="83" spans="1:13" ht="15.75" thickBot="1" x14ac:dyDescent="0.3"/>
    <row r="84" spans="1:13" x14ac:dyDescent="0.25">
      <c r="B84" s="23" t="str">
        <f>B81</f>
        <v>Female</v>
      </c>
      <c r="C84" s="24" t="str">
        <f t="shared" ref="C84:E84" si="0">C81</f>
        <v>Male</v>
      </c>
      <c r="D84" s="24" t="str">
        <f t="shared" si="0"/>
        <v>Other</v>
      </c>
      <c r="E84" s="25" t="str">
        <f t="shared" si="0"/>
        <v>Unknown</v>
      </c>
    </row>
    <row r="85" spans="1:13" ht="15.75" thickBot="1" x14ac:dyDescent="0.3">
      <c r="B85" s="10">
        <f>B82</f>
        <v>6272</v>
      </c>
      <c r="C85" s="11">
        <f>C82</f>
        <v>4672</v>
      </c>
      <c r="D85" s="11">
        <f>D82</f>
        <v>317</v>
      </c>
      <c r="E85" s="12">
        <f>E82</f>
        <v>736</v>
      </c>
    </row>
    <row r="89" spans="1:13" x14ac:dyDescent="0.25">
      <c r="A89" s="2" t="s">
        <v>10</v>
      </c>
      <c r="B89" s="2" t="s">
        <v>11</v>
      </c>
      <c r="C89" t="s">
        <v>2506</v>
      </c>
      <c r="D89" t="s">
        <v>2507</v>
      </c>
      <c r="G89" s="14" t="s">
        <v>10</v>
      </c>
      <c r="H89" s="14" t="s">
        <v>11</v>
      </c>
      <c r="I89" s="14" t="s">
        <v>2506</v>
      </c>
      <c r="K89" s="14" t="s">
        <v>10</v>
      </c>
      <c r="L89" s="14" t="s">
        <v>11</v>
      </c>
      <c r="M89" s="14" t="s">
        <v>2507</v>
      </c>
    </row>
    <row r="90" spans="1:13" x14ac:dyDescent="0.25">
      <c r="A90" t="s">
        <v>19</v>
      </c>
      <c r="B90" t="s">
        <v>115</v>
      </c>
      <c r="C90" s="36">
        <v>579</v>
      </c>
      <c r="D90" s="36">
        <v>31884.999999999996</v>
      </c>
      <c r="G90" s="26" t="s">
        <v>19</v>
      </c>
      <c r="H90" t="s">
        <v>115</v>
      </c>
      <c r="I90">
        <v>579</v>
      </c>
      <c r="K90" s="26" t="s">
        <v>19</v>
      </c>
      <c r="L90" t="s">
        <v>115</v>
      </c>
      <c r="M90">
        <v>31884.999999999996</v>
      </c>
    </row>
    <row r="91" spans="1:13" x14ac:dyDescent="0.25">
      <c r="A91" t="s">
        <v>19</v>
      </c>
      <c r="B91" t="s">
        <v>20</v>
      </c>
      <c r="C91" s="36">
        <v>1</v>
      </c>
      <c r="D91" s="36">
        <v>10.9</v>
      </c>
      <c r="G91" s="26" t="s">
        <v>19</v>
      </c>
      <c r="H91" t="s">
        <v>20</v>
      </c>
      <c r="I91">
        <v>1</v>
      </c>
      <c r="K91" s="26" t="s">
        <v>19</v>
      </c>
      <c r="L91" t="s">
        <v>20</v>
      </c>
      <c r="M91">
        <v>10.9</v>
      </c>
    </row>
    <row r="92" spans="1:13" x14ac:dyDescent="0.25">
      <c r="A92" t="s">
        <v>19</v>
      </c>
      <c r="B92" t="s">
        <v>641</v>
      </c>
      <c r="C92" s="36">
        <v>9</v>
      </c>
      <c r="D92" s="36">
        <v>800.3</v>
      </c>
      <c r="G92" s="26" t="s">
        <v>19</v>
      </c>
      <c r="H92" t="s">
        <v>641</v>
      </c>
      <c r="I92">
        <v>9</v>
      </c>
      <c r="K92" s="26" t="s">
        <v>19</v>
      </c>
      <c r="L92" t="s">
        <v>641</v>
      </c>
      <c r="M92">
        <v>800.3</v>
      </c>
    </row>
    <row r="93" spans="1:13" x14ac:dyDescent="0.25">
      <c r="A93" t="s">
        <v>19</v>
      </c>
      <c r="B93" t="s">
        <v>967</v>
      </c>
      <c r="C93" s="36">
        <v>35</v>
      </c>
      <c r="D93" s="36">
        <v>1062.5999999999999</v>
      </c>
      <c r="G93" s="26" t="s">
        <v>19</v>
      </c>
      <c r="H93" t="s">
        <v>967</v>
      </c>
      <c r="I93">
        <v>35</v>
      </c>
      <c r="K93" s="26" t="s">
        <v>19</v>
      </c>
      <c r="L93" t="s">
        <v>967</v>
      </c>
      <c r="M93">
        <v>1062.5999999999999</v>
      </c>
    </row>
    <row r="94" spans="1:13" x14ac:dyDescent="0.25">
      <c r="A94" t="s">
        <v>19</v>
      </c>
      <c r="B94" t="s">
        <v>84</v>
      </c>
      <c r="C94" s="36">
        <v>12</v>
      </c>
      <c r="D94" s="36">
        <v>326.20000000000005</v>
      </c>
      <c r="G94" s="26" t="s">
        <v>19</v>
      </c>
      <c r="H94" t="s">
        <v>84</v>
      </c>
      <c r="I94">
        <v>12</v>
      </c>
      <c r="K94" s="26" t="s">
        <v>19</v>
      </c>
      <c r="L94" t="s">
        <v>84</v>
      </c>
      <c r="M94">
        <v>326.20000000000005</v>
      </c>
    </row>
    <row r="95" spans="1:13" x14ac:dyDescent="0.25">
      <c r="A95" t="s">
        <v>19</v>
      </c>
      <c r="B95" t="s">
        <v>1383</v>
      </c>
      <c r="C95" s="36">
        <v>4</v>
      </c>
      <c r="D95" s="36">
        <v>167.5</v>
      </c>
      <c r="G95" s="26" t="s">
        <v>19</v>
      </c>
      <c r="H95" t="s">
        <v>1383</v>
      </c>
      <c r="I95">
        <v>4</v>
      </c>
      <c r="K95" s="26" t="s">
        <v>19</v>
      </c>
      <c r="L95" t="s">
        <v>1383</v>
      </c>
      <c r="M95">
        <v>167.5</v>
      </c>
    </row>
    <row r="96" spans="1:13" x14ac:dyDescent="0.25">
      <c r="A96" t="s">
        <v>19</v>
      </c>
      <c r="B96" t="s">
        <v>24</v>
      </c>
      <c r="C96" s="36">
        <v>341</v>
      </c>
      <c r="D96" s="36">
        <v>16168.7</v>
      </c>
      <c r="G96" s="26" t="s">
        <v>19</v>
      </c>
      <c r="H96" t="s">
        <v>24</v>
      </c>
      <c r="I96">
        <v>341</v>
      </c>
      <c r="K96" s="26" t="s">
        <v>19</v>
      </c>
      <c r="L96" t="s">
        <v>24</v>
      </c>
      <c r="M96">
        <v>16168.7</v>
      </c>
    </row>
    <row r="97" spans="1:13" x14ac:dyDescent="0.25">
      <c r="A97" t="s">
        <v>19</v>
      </c>
      <c r="B97" t="s">
        <v>2204</v>
      </c>
      <c r="C97" s="36">
        <v>13</v>
      </c>
      <c r="D97" s="36">
        <v>322.40000000000003</v>
      </c>
      <c r="G97" s="26" t="s">
        <v>19</v>
      </c>
      <c r="H97" t="s">
        <v>2204</v>
      </c>
      <c r="I97">
        <v>13</v>
      </c>
      <c r="K97" s="26" t="s">
        <v>19</v>
      </c>
      <c r="L97" t="s">
        <v>2204</v>
      </c>
      <c r="M97">
        <v>322.40000000000003</v>
      </c>
    </row>
    <row r="98" spans="1:13" x14ac:dyDescent="0.25">
      <c r="A98" t="s">
        <v>19</v>
      </c>
      <c r="B98" t="s">
        <v>437</v>
      </c>
      <c r="C98" s="36">
        <v>31</v>
      </c>
      <c r="D98" s="36">
        <v>2092.8000000000002</v>
      </c>
      <c r="G98" s="26" t="s">
        <v>19</v>
      </c>
      <c r="H98" t="s">
        <v>437</v>
      </c>
      <c r="I98">
        <v>31</v>
      </c>
      <c r="K98" s="26" t="s">
        <v>19</v>
      </c>
      <c r="L98" t="s">
        <v>437</v>
      </c>
      <c r="M98">
        <v>2092.8000000000002</v>
      </c>
    </row>
    <row r="99" spans="1:13" x14ac:dyDescent="0.25">
      <c r="A99" t="s">
        <v>19</v>
      </c>
      <c r="B99" t="s">
        <v>28</v>
      </c>
      <c r="C99" s="36">
        <v>279</v>
      </c>
      <c r="D99" s="36">
        <v>12662.500000000002</v>
      </c>
      <c r="G99" s="26" t="s">
        <v>19</v>
      </c>
      <c r="H99" t="s">
        <v>28</v>
      </c>
      <c r="I99">
        <v>279</v>
      </c>
      <c r="K99" s="26" t="s">
        <v>19</v>
      </c>
      <c r="L99" t="s">
        <v>28</v>
      </c>
      <c r="M99">
        <v>12662.500000000002</v>
      </c>
    </row>
    <row r="100" spans="1:13" x14ac:dyDescent="0.25">
      <c r="A100" t="s">
        <v>19</v>
      </c>
      <c r="B100" t="s">
        <v>208</v>
      </c>
      <c r="C100" s="36">
        <v>9</v>
      </c>
      <c r="D100" s="36">
        <v>343.2</v>
      </c>
      <c r="G100" s="26" t="s">
        <v>19</v>
      </c>
      <c r="H100" t="s">
        <v>208</v>
      </c>
      <c r="I100">
        <v>9</v>
      </c>
      <c r="K100" s="26" t="s">
        <v>19</v>
      </c>
      <c r="L100" t="s">
        <v>208</v>
      </c>
      <c r="M100">
        <v>343.2</v>
      </c>
    </row>
    <row r="101" spans="1:13" x14ac:dyDescent="0.25">
      <c r="A101" t="s">
        <v>19</v>
      </c>
      <c r="B101" t="s">
        <v>587</v>
      </c>
      <c r="C101" s="36">
        <v>49</v>
      </c>
      <c r="D101" s="36">
        <v>2188.2999999999997</v>
      </c>
      <c r="G101" s="26" t="s">
        <v>19</v>
      </c>
      <c r="H101" t="s">
        <v>587</v>
      </c>
      <c r="I101">
        <v>49</v>
      </c>
      <c r="K101" s="26" t="s">
        <v>19</v>
      </c>
      <c r="L101" t="s">
        <v>587</v>
      </c>
      <c r="M101">
        <v>2188.2999999999997</v>
      </c>
    </row>
    <row r="102" spans="1:13" x14ac:dyDescent="0.25">
      <c r="A102" t="s">
        <v>19</v>
      </c>
      <c r="B102" t="s">
        <v>331</v>
      </c>
      <c r="C102" s="36">
        <v>59</v>
      </c>
      <c r="D102" s="36">
        <v>2661.5999999999995</v>
      </c>
      <c r="G102" s="26" t="s">
        <v>19</v>
      </c>
      <c r="H102" t="s">
        <v>331</v>
      </c>
      <c r="I102">
        <v>59</v>
      </c>
      <c r="K102" s="26" t="s">
        <v>19</v>
      </c>
      <c r="L102" t="s">
        <v>331</v>
      </c>
      <c r="M102">
        <v>2661.5999999999995</v>
      </c>
    </row>
    <row r="103" spans="1:13" x14ac:dyDescent="0.25">
      <c r="A103" t="s">
        <v>19</v>
      </c>
      <c r="B103" t="s">
        <v>86</v>
      </c>
      <c r="C103" s="36">
        <v>8</v>
      </c>
      <c r="D103" s="36">
        <v>887.5</v>
      </c>
      <c r="G103" s="26" t="s">
        <v>19</v>
      </c>
      <c r="H103" t="s">
        <v>86</v>
      </c>
      <c r="I103">
        <v>8</v>
      </c>
      <c r="K103" s="26" t="s">
        <v>19</v>
      </c>
      <c r="L103" t="s">
        <v>86</v>
      </c>
      <c r="M103">
        <v>887.5</v>
      </c>
    </row>
    <row r="104" spans="1:13" x14ac:dyDescent="0.25">
      <c r="A104" t="s">
        <v>19</v>
      </c>
      <c r="B104" t="s">
        <v>147</v>
      </c>
      <c r="C104" s="36">
        <v>222</v>
      </c>
      <c r="D104" s="36">
        <v>11354.199999999993</v>
      </c>
      <c r="G104" s="26" t="s">
        <v>19</v>
      </c>
      <c r="H104" t="s">
        <v>147</v>
      </c>
      <c r="I104">
        <v>222</v>
      </c>
      <c r="K104" s="26" t="s">
        <v>19</v>
      </c>
      <c r="L104" t="s">
        <v>147</v>
      </c>
      <c r="M104">
        <v>11354.199999999993</v>
      </c>
    </row>
    <row r="105" spans="1:13" x14ac:dyDescent="0.25">
      <c r="A105" t="s">
        <v>19</v>
      </c>
      <c r="B105" t="s">
        <v>334</v>
      </c>
      <c r="C105" s="36">
        <v>36</v>
      </c>
      <c r="D105" s="36">
        <v>1558.4</v>
      </c>
      <c r="G105" s="26" t="s">
        <v>19</v>
      </c>
      <c r="H105" t="s">
        <v>334</v>
      </c>
      <c r="I105">
        <v>36</v>
      </c>
      <c r="K105" s="26" t="s">
        <v>19</v>
      </c>
      <c r="L105" t="s">
        <v>334</v>
      </c>
      <c r="M105">
        <v>1558.4</v>
      </c>
    </row>
    <row r="106" spans="1:13" x14ac:dyDescent="0.25">
      <c r="A106" t="s">
        <v>19</v>
      </c>
      <c r="B106" t="s">
        <v>949</v>
      </c>
      <c r="C106" s="36">
        <v>30</v>
      </c>
      <c r="D106" s="36">
        <v>2223.9</v>
      </c>
      <c r="G106" s="26" t="s">
        <v>19</v>
      </c>
      <c r="H106" t="s">
        <v>949</v>
      </c>
      <c r="I106">
        <v>30</v>
      </c>
      <c r="K106" s="26" t="s">
        <v>19</v>
      </c>
      <c r="L106" t="s">
        <v>949</v>
      </c>
      <c r="M106">
        <v>2223.9</v>
      </c>
    </row>
    <row r="107" spans="1:13" x14ac:dyDescent="0.25">
      <c r="A107" t="s">
        <v>19</v>
      </c>
      <c r="B107" t="s">
        <v>1426</v>
      </c>
      <c r="C107" s="36">
        <v>1</v>
      </c>
      <c r="D107" s="36">
        <v>26.2</v>
      </c>
      <c r="G107" s="26" t="s">
        <v>19</v>
      </c>
      <c r="H107" t="s">
        <v>1426</v>
      </c>
      <c r="I107">
        <v>1</v>
      </c>
      <c r="K107" s="26" t="s">
        <v>19</v>
      </c>
      <c r="L107" t="s">
        <v>1426</v>
      </c>
      <c r="M107">
        <v>26.2</v>
      </c>
    </row>
    <row r="108" spans="1:13" x14ac:dyDescent="0.25">
      <c r="A108" t="s">
        <v>19</v>
      </c>
      <c r="B108" t="s">
        <v>33</v>
      </c>
      <c r="C108" s="36">
        <v>3991</v>
      </c>
      <c r="D108" s="36">
        <v>215551.19999999981</v>
      </c>
      <c r="G108" s="26" t="s">
        <v>19</v>
      </c>
      <c r="H108" t="s">
        <v>33</v>
      </c>
      <c r="I108">
        <v>3991</v>
      </c>
      <c r="K108" s="26" t="s">
        <v>19</v>
      </c>
      <c r="L108" t="s">
        <v>33</v>
      </c>
      <c r="M108">
        <v>215551.19999999981</v>
      </c>
    </row>
    <row r="109" spans="1:13" x14ac:dyDescent="0.25">
      <c r="A109" t="s">
        <v>19</v>
      </c>
      <c r="B109" t="s">
        <v>364</v>
      </c>
      <c r="C109" s="36">
        <v>45</v>
      </c>
      <c r="D109" s="36">
        <v>2687.3999999999996</v>
      </c>
      <c r="G109" s="26" t="s">
        <v>19</v>
      </c>
      <c r="H109" t="s">
        <v>364</v>
      </c>
      <c r="I109">
        <v>45</v>
      </c>
      <c r="K109" s="26" t="s">
        <v>19</v>
      </c>
      <c r="L109" t="s">
        <v>364</v>
      </c>
      <c r="M109">
        <v>2687.3999999999996</v>
      </c>
    </row>
    <row r="110" spans="1:13" x14ac:dyDescent="0.25">
      <c r="A110" t="s">
        <v>19</v>
      </c>
      <c r="B110" t="s">
        <v>545</v>
      </c>
      <c r="C110" s="36">
        <v>39</v>
      </c>
      <c r="D110" s="36">
        <v>1463.3000000000002</v>
      </c>
      <c r="G110" s="26" t="s">
        <v>19</v>
      </c>
      <c r="H110" t="s">
        <v>545</v>
      </c>
      <c r="I110">
        <v>39</v>
      </c>
      <c r="K110" s="26" t="s">
        <v>19</v>
      </c>
      <c r="L110" t="s">
        <v>545</v>
      </c>
      <c r="M110">
        <v>1463.3000000000002</v>
      </c>
    </row>
    <row r="111" spans="1:13" x14ac:dyDescent="0.25">
      <c r="A111" t="s">
        <v>19</v>
      </c>
      <c r="B111" t="s">
        <v>416</v>
      </c>
      <c r="C111" s="36">
        <v>6</v>
      </c>
      <c r="D111" s="36">
        <v>445.79999999999995</v>
      </c>
      <c r="G111" s="26" t="s">
        <v>19</v>
      </c>
      <c r="H111" t="s">
        <v>416</v>
      </c>
      <c r="I111">
        <v>6</v>
      </c>
      <c r="K111" s="26" t="s">
        <v>19</v>
      </c>
      <c r="L111" t="s">
        <v>416</v>
      </c>
      <c r="M111">
        <v>445.79999999999995</v>
      </c>
    </row>
    <row r="112" spans="1:13" x14ac:dyDescent="0.25">
      <c r="A112" t="s">
        <v>19</v>
      </c>
      <c r="B112" t="s">
        <v>258</v>
      </c>
      <c r="C112" s="36">
        <v>9</v>
      </c>
      <c r="D112" s="36">
        <v>273.59999999999997</v>
      </c>
      <c r="G112" s="26" t="s">
        <v>19</v>
      </c>
      <c r="H112" t="s">
        <v>258</v>
      </c>
      <c r="I112">
        <v>9</v>
      </c>
      <c r="K112" s="26" t="s">
        <v>19</v>
      </c>
      <c r="L112" t="s">
        <v>258</v>
      </c>
      <c r="M112">
        <v>273.59999999999997</v>
      </c>
    </row>
    <row r="113" spans="1:13" x14ac:dyDescent="0.25">
      <c r="A113" t="s">
        <v>19</v>
      </c>
      <c r="B113" t="s">
        <v>186</v>
      </c>
      <c r="C113" s="36">
        <v>60</v>
      </c>
      <c r="D113" s="36">
        <v>2690.4</v>
      </c>
      <c r="G113" s="26" t="s">
        <v>19</v>
      </c>
      <c r="H113" t="s">
        <v>186</v>
      </c>
      <c r="I113">
        <v>60</v>
      </c>
      <c r="K113" s="26" t="s">
        <v>19</v>
      </c>
      <c r="L113" t="s">
        <v>186</v>
      </c>
      <c r="M113">
        <v>2690.4</v>
      </c>
    </row>
    <row r="114" spans="1:13" x14ac:dyDescent="0.25">
      <c r="A114" t="s">
        <v>19</v>
      </c>
      <c r="B114" t="s">
        <v>392</v>
      </c>
      <c r="C114" s="36">
        <v>2</v>
      </c>
      <c r="D114" s="36">
        <v>28.4</v>
      </c>
      <c r="G114" s="26" t="s">
        <v>19</v>
      </c>
      <c r="H114" t="s">
        <v>392</v>
      </c>
      <c r="I114">
        <v>2</v>
      </c>
      <c r="K114" s="26" t="s">
        <v>19</v>
      </c>
      <c r="L114" t="s">
        <v>392</v>
      </c>
      <c r="M114">
        <v>28.4</v>
      </c>
    </row>
    <row r="115" spans="1:13" x14ac:dyDescent="0.25">
      <c r="A115" t="s">
        <v>19</v>
      </c>
      <c r="B115" t="s">
        <v>670</v>
      </c>
      <c r="C115" s="36">
        <v>4</v>
      </c>
      <c r="D115" s="36">
        <v>204.8</v>
      </c>
      <c r="G115" s="26" t="s">
        <v>19</v>
      </c>
      <c r="H115" t="s">
        <v>670</v>
      </c>
      <c r="I115">
        <v>4</v>
      </c>
      <c r="K115" s="26" t="s">
        <v>19</v>
      </c>
      <c r="L115" t="s">
        <v>670</v>
      </c>
      <c r="M115">
        <v>204.8</v>
      </c>
    </row>
    <row r="116" spans="1:13" x14ac:dyDescent="0.25">
      <c r="A116" t="s">
        <v>19</v>
      </c>
      <c r="B116" t="s">
        <v>802</v>
      </c>
      <c r="C116" s="36">
        <v>31</v>
      </c>
      <c r="D116" s="36">
        <v>1607.8999999999999</v>
      </c>
      <c r="G116" s="26" t="s">
        <v>19</v>
      </c>
      <c r="H116" t="s">
        <v>802</v>
      </c>
      <c r="I116">
        <v>31</v>
      </c>
      <c r="K116" s="26" t="s">
        <v>19</v>
      </c>
      <c r="L116" t="s">
        <v>802</v>
      </c>
      <c r="M116">
        <v>1607.8999999999999</v>
      </c>
    </row>
    <row r="117" spans="1:13" x14ac:dyDescent="0.25">
      <c r="A117" t="s">
        <v>19</v>
      </c>
      <c r="B117" t="s">
        <v>98</v>
      </c>
      <c r="C117" s="36">
        <v>88</v>
      </c>
      <c r="D117" s="36">
        <v>6444.9</v>
      </c>
      <c r="G117" s="26" t="s">
        <v>19</v>
      </c>
      <c r="H117" t="s">
        <v>98</v>
      </c>
      <c r="I117">
        <v>88</v>
      </c>
      <c r="K117" s="26" t="s">
        <v>19</v>
      </c>
      <c r="L117" t="s">
        <v>98</v>
      </c>
      <c r="M117">
        <v>6444.9</v>
      </c>
    </row>
    <row r="118" spans="1:13" x14ac:dyDescent="0.25">
      <c r="A118" t="s">
        <v>19</v>
      </c>
      <c r="B118" t="s">
        <v>49</v>
      </c>
      <c r="C118" s="36">
        <v>25</v>
      </c>
      <c r="D118" s="36">
        <v>1809.3</v>
      </c>
      <c r="G118" s="26" t="s">
        <v>19</v>
      </c>
      <c r="H118" t="s">
        <v>49</v>
      </c>
      <c r="I118">
        <v>25</v>
      </c>
      <c r="K118" s="26" t="s">
        <v>19</v>
      </c>
      <c r="L118" t="s">
        <v>49</v>
      </c>
      <c r="M118">
        <v>1809.3</v>
      </c>
    </row>
    <row r="119" spans="1:13" x14ac:dyDescent="0.25">
      <c r="A119" t="s">
        <v>19</v>
      </c>
      <c r="B119" t="s">
        <v>188</v>
      </c>
      <c r="C119" s="36">
        <v>178</v>
      </c>
      <c r="D119" s="36">
        <v>9680.399999999996</v>
      </c>
      <c r="G119" s="26" t="s">
        <v>19</v>
      </c>
      <c r="H119" t="s">
        <v>188</v>
      </c>
      <c r="I119">
        <v>178</v>
      </c>
      <c r="K119" s="26" t="s">
        <v>19</v>
      </c>
      <c r="L119" t="s">
        <v>188</v>
      </c>
      <c r="M119">
        <v>9680.399999999996</v>
      </c>
    </row>
    <row r="120" spans="1:13" x14ac:dyDescent="0.25">
      <c r="A120" t="s">
        <v>19</v>
      </c>
      <c r="B120" t="s">
        <v>52</v>
      </c>
      <c r="C120" s="36">
        <v>141</v>
      </c>
      <c r="D120" s="36">
        <v>9414.7999999999993</v>
      </c>
      <c r="G120" s="26" t="s">
        <v>19</v>
      </c>
      <c r="H120" t="s">
        <v>52</v>
      </c>
      <c r="I120">
        <v>141</v>
      </c>
      <c r="K120" s="26" t="s">
        <v>19</v>
      </c>
      <c r="L120" t="s">
        <v>52</v>
      </c>
      <c r="M120">
        <v>9414.7999999999993</v>
      </c>
    </row>
    <row r="121" spans="1:13" x14ac:dyDescent="0.25">
      <c r="A121" t="s">
        <v>19</v>
      </c>
      <c r="B121" t="s">
        <v>338</v>
      </c>
      <c r="C121" s="36">
        <v>6</v>
      </c>
      <c r="D121" s="36">
        <v>206.1</v>
      </c>
      <c r="G121" s="26" t="s">
        <v>19</v>
      </c>
      <c r="H121" t="s">
        <v>338</v>
      </c>
      <c r="I121">
        <v>6</v>
      </c>
      <c r="K121" s="26" t="s">
        <v>19</v>
      </c>
      <c r="L121" t="s">
        <v>338</v>
      </c>
      <c r="M121">
        <v>206.1</v>
      </c>
    </row>
    <row r="122" spans="1:13" x14ac:dyDescent="0.25">
      <c r="A122" t="s">
        <v>19</v>
      </c>
      <c r="B122" t="s">
        <v>158</v>
      </c>
      <c r="C122" s="36">
        <v>178</v>
      </c>
      <c r="D122" s="36">
        <v>7691.3</v>
      </c>
      <c r="G122" s="26" t="s">
        <v>19</v>
      </c>
      <c r="H122" t="s">
        <v>158</v>
      </c>
      <c r="I122">
        <v>178</v>
      </c>
      <c r="K122" s="26" t="s">
        <v>19</v>
      </c>
      <c r="L122" t="s">
        <v>158</v>
      </c>
      <c r="M122">
        <v>7691.3</v>
      </c>
    </row>
    <row r="123" spans="1:13" x14ac:dyDescent="0.25">
      <c r="A123" t="s">
        <v>19</v>
      </c>
      <c r="B123" t="s">
        <v>55</v>
      </c>
      <c r="C123" s="36">
        <v>699</v>
      </c>
      <c r="D123" s="36">
        <v>37784.900000000016</v>
      </c>
      <c r="G123" s="26" t="s">
        <v>19</v>
      </c>
      <c r="H123" t="s">
        <v>55</v>
      </c>
      <c r="I123">
        <v>699</v>
      </c>
      <c r="K123" s="26" t="s">
        <v>19</v>
      </c>
      <c r="L123" t="s">
        <v>55</v>
      </c>
      <c r="M123">
        <v>37784.900000000016</v>
      </c>
    </row>
    <row r="124" spans="1:13" x14ac:dyDescent="0.25">
      <c r="A124" t="s">
        <v>19</v>
      </c>
      <c r="B124" t="s">
        <v>342</v>
      </c>
      <c r="C124" s="36">
        <v>23</v>
      </c>
      <c r="D124" s="36">
        <v>1129.7</v>
      </c>
      <c r="G124" s="26" t="s">
        <v>19</v>
      </c>
      <c r="H124" t="s">
        <v>342</v>
      </c>
      <c r="I124">
        <v>23</v>
      </c>
      <c r="K124" s="26" t="s">
        <v>19</v>
      </c>
      <c r="L124" t="s">
        <v>342</v>
      </c>
      <c r="M124">
        <v>1129.7</v>
      </c>
    </row>
    <row r="125" spans="1:13" x14ac:dyDescent="0.25">
      <c r="A125" t="s">
        <v>19</v>
      </c>
      <c r="B125" t="s">
        <v>59</v>
      </c>
      <c r="C125" s="36">
        <v>356</v>
      </c>
      <c r="D125" s="36">
        <v>20988.9</v>
      </c>
      <c r="G125" s="26" t="s">
        <v>19</v>
      </c>
      <c r="H125" t="s">
        <v>59</v>
      </c>
      <c r="I125">
        <v>356</v>
      </c>
      <c r="K125" s="26" t="s">
        <v>19</v>
      </c>
      <c r="L125" t="s">
        <v>59</v>
      </c>
      <c r="M125">
        <v>20988.9</v>
      </c>
    </row>
    <row r="126" spans="1:13" x14ac:dyDescent="0.25">
      <c r="A126" t="s">
        <v>19</v>
      </c>
      <c r="B126" t="s">
        <v>62</v>
      </c>
      <c r="C126" s="36">
        <v>1768</v>
      </c>
      <c r="D126" s="36">
        <v>98367.099999999977</v>
      </c>
      <c r="G126" s="26" t="s">
        <v>19</v>
      </c>
      <c r="H126" t="s">
        <v>62</v>
      </c>
      <c r="I126">
        <v>1768</v>
      </c>
      <c r="K126" s="26" t="s">
        <v>19</v>
      </c>
      <c r="L126" t="s">
        <v>62</v>
      </c>
      <c r="M126">
        <v>98367.099999999977</v>
      </c>
    </row>
    <row r="127" spans="1:13" x14ac:dyDescent="0.25">
      <c r="A127" t="s">
        <v>19</v>
      </c>
      <c r="B127" t="s">
        <v>103</v>
      </c>
      <c r="C127" s="36">
        <v>307</v>
      </c>
      <c r="D127" s="36">
        <v>21911.9</v>
      </c>
      <c r="G127" s="26" t="s">
        <v>19</v>
      </c>
      <c r="H127" t="s">
        <v>103</v>
      </c>
      <c r="I127">
        <v>307</v>
      </c>
      <c r="K127" s="26" t="s">
        <v>19</v>
      </c>
      <c r="L127" t="s">
        <v>103</v>
      </c>
      <c r="M127">
        <v>21911.9</v>
      </c>
    </row>
    <row r="128" spans="1:13" x14ac:dyDescent="0.25">
      <c r="A128" t="s">
        <v>19</v>
      </c>
      <c r="B128" t="s">
        <v>201</v>
      </c>
      <c r="C128" s="36">
        <v>117</v>
      </c>
      <c r="D128" s="36">
        <v>5441.2</v>
      </c>
      <c r="G128" s="26" t="s">
        <v>19</v>
      </c>
      <c r="H128" t="s">
        <v>201</v>
      </c>
      <c r="I128">
        <v>117</v>
      </c>
      <c r="K128" s="26" t="s">
        <v>19</v>
      </c>
      <c r="L128" t="s">
        <v>201</v>
      </c>
      <c r="M128">
        <v>5441.2</v>
      </c>
    </row>
    <row r="129" spans="1:13" x14ac:dyDescent="0.25">
      <c r="A129" t="s">
        <v>19</v>
      </c>
      <c r="B129" t="s">
        <v>429</v>
      </c>
      <c r="C129" s="36">
        <v>13</v>
      </c>
      <c r="D129" s="36">
        <v>392.8</v>
      </c>
      <c r="G129" s="26" t="s">
        <v>19</v>
      </c>
      <c r="H129" t="s">
        <v>429</v>
      </c>
      <c r="I129">
        <v>13</v>
      </c>
      <c r="K129" s="26" t="s">
        <v>19</v>
      </c>
      <c r="L129" t="s">
        <v>429</v>
      </c>
      <c r="M129">
        <v>392.8</v>
      </c>
    </row>
    <row r="130" spans="1:13" x14ac:dyDescent="0.25">
      <c r="A130" t="s">
        <v>19</v>
      </c>
      <c r="B130" t="s">
        <v>72</v>
      </c>
      <c r="C130" s="36">
        <v>364</v>
      </c>
      <c r="D130" s="36">
        <v>16172.000000000005</v>
      </c>
      <c r="G130" s="26" t="s">
        <v>19</v>
      </c>
      <c r="H130" t="s">
        <v>72</v>
      </c>
      <c r="I130">
        <v>364</v>
      </c>
      <c r="K130" s="26" t="s">
        <v>19</v>
      </c>
      <c r="L130" t="s">
        <v>72</v>
      </c>
      <c r="M130">
        <v>16172.000000000005</v>
      </c>
    </row>
    <row r="131" spans="1:13" x14ac:dyDescent="0.25">
      <c r="A131" t="s">
        <v>19</v>
      </c>
      <c r="B131" t="s">
        <v>74</v>
      </c>
      <c r="C131" s="36">
        <v>95</v>
      </c>
      <c r="D131" s="36">
        <v>4334.9999999999991</v>
      </c>
      <c r="G131" s="26" t="s">
        <v>19</v>
      </c>
      <c r="H131" t="s">
        <v>74</v>
      </c>
      <c r="I131">
        <v>95</v>
      </c>
      <c r="K131" s="26" t="s">
        <v>19</v>
      </c>
      <c r="L131" t="s">
        <v>74</v>
      </c>
      <c r="M131">
        <v>4334.9999999999991</v>
      </c>
    </row>
    <row r="132" spans="1:13" x14ac:dyDescent="0.25">
      <c r="A132" t="s">
        <v>19</v>
      </c>
      <c r="B132" t="s">
        <v>77</v>
      </c>
      <c r="C132" s="36">
        <v>737</v>
      </c>
      <c r="D132" s="36">
        <v>37449.000000000007</v>
      </c>
      <c r="G132" s="26" t="s">
        <v>19</v>
      </c>
      <c r="H132" t="s">
        <v>77</v>
      </c>
      <c r="I132">
        <v>737</v>
      </c>
      <c r="K132" s="26" t="s">
        <v>19</v>
      </c>
      <c r="L132" t="s">
        <v>77</v>
      </c>
      <c r="M132">
        <v>37449.000000000007</v>
      </c>
    </row>
    <row r="133" spans="1:13" x14ac:dyDescent="0.25">
      <c r="A133" t="s">
        <v>19</v>
      </c>
      <c r="B133" t="s">
        <v>309</v>
      </c>
      <c r="C133" s="36">
        <v>39</v>
      </c>
      <c r="D133" s="36">
        <v>2447.5</v>
      </c>
      <c r="G133" s="26" t="s">
        <v>19</v>
      </c>
      <c r="H133" t="s">
        <v>309</v>
      </c>
      <c r="I133">
        <v>39</v>
      </c>
      <c r="K133" s="26" t="s">
        <v>19</v>
      </c>
      <c r="L133" t="s">
        <v>309</v>
      </c>
      <c r="M133">
        <v>2447.5</v>
      </c>
    </row>
    <row r="134" spans="1:13" x14ac:dyDescent="0.25">
      <c r="A134" t="s">
        <v>19</v>
      </c>
      <c r="B134" t="s">
        <v>1116</v>
      </c>
      <c r="C134" s="36">
        <v>56</v>
      </c>
      <c r="D134" s="36">
        <v>3391.1</v>
      </c>
      <c r="G134" s="26" t="s">
        <v>19</v>
      </c>
      <c r="H134" t="s">
        <v>1116</v>
      </c>
      <c r="I134">
        <v>56</v>
      </c>
      <c r="K134" s="26" t="s">
        <v>19</v>
      </c>
      <c r="L134" t="s">
        <v>1116</v>
      </c>
      <c r="M134">
        <v>3391.1</v>
      </c>
    </row>
    <row r="135" spans="1:13" x14ac:dyDescent="0.25">
      <c r="A135" t="s">
        <v>19</v>
      </c>
      <c r="B135" t="s">
        <v>700</v>
      </c>
      <c r="C135" s="36">
        <v>2</v>
      </c>
      <c r="D135" s="36">
        <v>30.8</v>
      </c>
      <c r="G135" s="26" t="s">
        <v>19</v>
      </c>
      <c r="H135" t="s">
        <v>700</v>
      </c>
      <c r="I135">
        <v>2</v>
      </c>
      <c r="K135" s="26" t="s">
        <v>19</v>
      </c>
      <c r="L135" t="s">
        <v>700</v>
      </c>
      <c r="M135">
        <v>30.8</v>
      </c>
    </row>
    <row r="136" spans="1:13" x14ac:dyDescent="0.25">
      <c r="A136" t="s">
        <v>19</v>
      </c>
      <c r="B136" t="s">
        <v>268</v>
      </c>
      <c r="C136" s="36">
        <v>8</v>
      </c>
      <c r="D136" s="36">
        <v>332.3</v>
      </c>
      <c r="G136" s="26" t="s">
        <v>19</v>
      </c>
      <c r="H136" t="s">
        <v>268</v>
      </c>
      <c r="I136">
        <v>8</v>
      </c>
      <c r="K136" s="26" t="s">
        <v>19</v>
      </c>
      <c r="L136" t="s">
        <v>268</v>
      </c>
      <c r="M136">
        <v>332.3</v>
      </c>
    </row>
    <row r="137" spans="1:13" x14ac:dyDescent="0.25">
      <c r="A137" t="s">
        <v>19</v>
      </c>
      <c r="B137" t="s">
        <v>377</v>
      </c>
      <c r="C137" s="36">
        <v>52</v>
      </c>
      <c r="D137" s="36">
        <v>3175.9999999999995</v>
      </c>
      <c r="G137" s="26" t="s">
        <v>19</v>
      </c>
      <c r="H137" t="s">
        <v>377</v>
      </c>
      <c r="I137">
        <v>52</v>
      </c>
      <c r="K137" s="26" t="s">
        <v>19</v>
      </c>
      <c r="L137" t="s">
        <v>377</v>
      </c>
      <c r="M137">
        <v>3175.9999999999995</v>
      </c>
    </row>
    <row r="138" spans="1:13" x14ac:dyDescent="0.25">
      <c r="A138" t="s">
        <v>19</v>
      </c>
      <c r="B138" t="s">
        <v>108</v>
      </c>
      <c r="C138" s="36">
        <v>295</v>
      </c>
      <c r="D138" s="36">
        <v>20939.600000000002</v>
      </c>
      <c r="G138" s="26" t="s">
        <v>19</v>
      </c>
      <c r="H138" t="s">
        <v>108</v>
      </c>
      <c r="I138">
        <v>295</v>
      </c>
      <c r="K138" s="26" t="s">
        <v>19</v>
      </c>
      <c r="L138" t="s">
        <v>108</v>
      </c>
      <c r="M138">
        <v>20939.600000000002</v>
      </c>
    </row>
    <row r="139" spans="1:13" x14ac:dyDescent="0.25">
      <c r="A139" t="s">
        <v>19</v>
      </c>
      <c r="B139" t="s">
        <v>110</v>
      </c>
      <c r="C139" s="36">
        <v>195</v>
      </c>
      <c r="D139" s="36">
        <v>10185.899999999996</v>
      </c>
      <c r="G139" s="26" t="s">
        <v>19</v>
      </c>
      <c r="H139" t="s">
        <v>110</v>
      </c>
      <c r="I139">
        <v>195</v>
      </c>
      <c r="K139" s="26" t="s">
        <v>19</v>
      </c>
      <c r="L139" t="s">
        <v>110</v>
      </c>
      <c r="M139">
        <v>10185.899999999996</v>
      </c>
    </row>
    <row r="140" spans="1:13" x14ac:dyDescent="0.25">
      <c r="A140" t="s">
        <v>19</v>
      </c>
      <c r="B140" t="s">
        <v>292</v>
      </c>
      <c r="C140" s="36">
        <v>20</v>
      </c>
      <c r="D140" s="36">
        <v>958.7</v>
      </c>
      <c r="G140" s="26" t="s">
        <v>19</v>
      </c>
      <c r="H140" t="s">
        <v>292</v>
      </c>
      <c r="I140">
        <v>20</v>
      </c>
      <c r="K140" s="26" t="s">
        <v>19</v>
      </c>
      <c r="L140" t="s">
        <v>292</v>
      </c>
      <c r="M140">
        <v>958.7</v>
      </c>
    </row>
    <row r="141" spans="1:13" x14ac:dyDescent="0.25">
      <c r="A141" t="s">
        <v>19</v>
      </c>
      <c r="B141" t="s">
        <v>79</v>
      </c>
      <c r="C141" s="36">
        <v>6</v>
      </c>
      <c r="D141" s="36">
        <v>323</v>
      </c>
      <c r="G141" s="26" t="s">
        <v>19</v>
      </c>
      <c r="H141" t="s">
        <v>79</v>
      </c>
      <c r="I141">
        <v>6</v>
      </c>
      <c r="K141" s="26" t="s">
        <v>19</v>
      </c>
      <c r="L141" t="s">
        <v>79</v>
      </c>
      <c r="M141">
        <v>323</v>
      </c>
    </row>
    <row r="142" spans="1:13" x14ac:dyDescent="0.25">
      <c r="A142" t="s">
        <v>19</v>
      </c>
      <c r="B142" t="s">
        <v>608</v>
      </c>
      <c r="C142" s="36">
        <v>5</v>
      </c>
      <c r="D142" s="36">
        <v>167.70000000000002</v>
      </c>
      <c r="G142" s="26" t="s">
        <v>19</v>
      </c>
      <c r="H142" t="s">
        <v>608</v>
      </c>
      <c r="I142">
        <v>5</v>
      </c>
      <c r="K142" s="26" t="s">
        <v>19</v>
      </c>
      <c r="L142" t="s">
        <v>608</v>
      </c>
      <c r="M142">
        <v>167.70000000000002</v>
      </c>
    </row>
    <row r="143" spans="1:13" x14ac:dyDescent="0.25">
      <c r="A143" t="s">
        <v>19</v>
      </c>
      <c r="B143" t="s">
        <v>113</v>
      </c>
      <c r="C143" s="36">
        <v>94</v>
      </c>
      <c r="D143" s="36">
        <v>3978.5</v>
      </c>
      <c r="G143" s="26" t="s">
        <v>19</v>
      </c>
      <c r="H143" t="s">
        <v>113</v>
      </c>
      <c r="I143">
        <v>94</v>
      </c>
      <c r="K143" s="26" t="s">
        <v>19</v>
      </c>
      <c r="L143" t="s">
        <v>113</v>
      </c>
      <c r="M143">
        <v>3978.5</v>
      </c>
    </row>
    <row r="144" spans="1:13" x14ac:dyDescent="0.25">
      <c r="A144" t="s">
        <v>19</v>
      </c>
      <c r="B144" t="s">
        <v>997</v>
      </c>
      <c r="C144" s="36">
        <v>28</v>
      </c>
      <c r="D144" s="36">
        <v>1405</v>
      </c>
      <c r="G144" s="26" t="s">
        <v>19</v>
      </c>
      <c r="H144" t="s">
        <v>997</v>
      </c>
      <c r="I144">
        <v>28</v>
      </c>
      <c r="K144" s="26" t="s">
        <v>19</v>
      </c>
      <c r="L144" t="s">
        <v>997</v>
      </c>
      <c r="M144">
        <v>1405</v>
      </c>
    </row>
    <row r="145" spans="1:13" x14ac:dyDescent="0.25">
      <c r="A145" t="s">
        <v>19</v>
      </c>
      <c r="B145" t="s">
        <v>82</v>
      </c>
      <c r="C145" s="36">
        <v>179</v>
      </c>
      <c r="D145" s="36">
        <v>9869.0999999999985</v>
      </c>
      <c r="G145" s="26" t="s">
        <v>19</v>
      </c>
      <c r="H145" t="s">
        <v>82</v>
      </c>
      <c r="I145">
        <v>179</v>
      </c>
      <c r="K145" s="26" t="s">
        <v>19</v>
      </c>
      <c r="L145" t="s">
        <v>82</v>
      </c>
      <c r="M145">
        <v>9869.0999999999985</v>
      </c>
    </row>
    <row r="146" spans="1:13" x14ac:dyDescent="0.25">
      <c r="A146" t="s">
        <v>19</v>
      </c>
      <c r="B146" t="s">
        <v>243</v>
      </c>
      <c r="C146" s="36">
        <v>15</v>
      </c>
      <c r="D146" s="36">
        <v>615.29999999999995</v>
      </c>
      <c r="G146" s="26" t="s">
        <v>19</v>
      </c>
      <c r="H146" t="s">
        <v>243</v>
      </c>
      <c r="I146">
        <v>15</v>
      </c>
      <c r="K146" s="26" t="s">
        <v>19</v>
      </c>
      <c r="L146" t="s">
        <v>243</v>
      </c>
      <c r="M146">
        <v>615.29999999999995</v>
      </c>
    </row>
    <row r="147" spans="1:13" x14ac:dyDescent="0.25">
      <c r="A147" t="s">
        <v>19</v>
      </c>
      <c r="B147" t="s">
        <v>1911</v>
      </c>
      <c r="C147" s="36">
        <v>3</v>
      </c>
      <c r="D147" s="36">
        <v>285</v>
      </c>
      <c r="G147" s="27" t="s">
        <v>19</v>
      </c>
      <c r="H147" t="s">
        <v>1911</v>
      </c>
      <c r="I147">
        <v>3</v>
      </c>
      <c r="K147" s="27" t="s">
        <v>19</v>
      </c>
      <c r="L147" t="s">
        <v>1911</v>
      </c>
      <c r="M147">
        <v>285</v>
      </c>
    </row>
    <row r="151" spans="1:13" x14ac:dyDescent="0.25">
      <c r="A151" s="2" t="s">
        <v>2503</v>
      </c>
      <c r="B151" t="s">
        <v>2505</v>
      </c>
    </row>
    <row r="152" spans="1:13" x14ac:dyDescent="0.25">
      <c r="A152" s="3">
        <v>0</v>
      </c>
      <c r="B152" s="36">
        <v>175</v>
      </c>
    </row>
    <row r="153" spans="1:13" x14ac:dyDescent="0.25">
      <c r="A153" s="3">
        <v>1</v>
      </c>
      <c r="B153" s="36">
        <v>888</v>
      </c>
    </row>
    <row r="154" spans="1:13" x14ac:dyDescent="0.25">
      <c r="A154" s="3">
        <v>2</v>
      </c>
      <c r="B154" s="36">
        <v>538</v>
      </c>
    </row>
    <row r="155" spans="1:13" x14ac:dyDescent="0.25">
      <c r="A155" s="3">
        <v>3</v>
      </c>
      <c r="B155" s="36">
        <v>344</v>
      </c>
    </row>
    <row r="156" spans="1:13" x14ac:dyDescent="0.25">
      <c r="A156" s="3">
        <v>4</v>
      </c>
      <c r="B156" s="36">
        <v>200</v>
      </c>
    </row>
    <row r="157" spans="1:13" x14ac:dyDescent="0.25">
      <c r="A157" s="3">
        <v>5</v>
      </c>
      <c r="B157" s="36">
        <v>94</v>
      </c>
    </row>
    <row r="158" spans="1:13" x14ac:dyDescent="0.25">
      <c r="A158" s="3">
        <v>6</v>
      </c>
      <c r="B158" s="36">
        <v>51</v>
      </c>
    </row>
    <row r="159" spans="1:13" x14ac:dyDescent="0.25">
      <c r="A159" s="3">
        <v>7</v>
      </c>
      <c r="B159" s="36">
        <v>32</v>
      </c>
    </row>
    <row r="160" spans="1:13" x14ac:dyDescent="0.25">
      <c r="A160" s="3">
        <v>8</v>
      </c>
      <c r="B160" s="36">
        <v>23</v>
      </c>
    </row>
    <row r="161" spans="1:7" x14ac:dyDescent="0.25">
      <c r="A161" s="3">
        <v>9</v>
      </c>
      <c r="B161" s="36">
        <v>9</v>
      </c>
    </row>
    <row r="162" spans="1:7" x14ac:dyDescent="0.25">
      <c r="A162" s="3">
        <v>10</v>
      </c>
      <c r="B162" s="36">
        <v>8</v>
      </c>
    </row>
    <row r="163" spans="1:7" x14ac:dyDescent="0.25">
      <c r="A163" s="3">
        <v>11</v>
      </c>
      <c r="B163" s="36">
        <v>11</v>
      </c>
    </row>
    <row r="164" spans="1:7" x14ac:dyDescent="0.25">
      <c r="A164" s="3">
        <v>12</v>
      </c>
      <c r="B164" s="36">
        <v>4</v>
      </c>
    </row>
    <row r="165" spans="1:7" x14ac:dyDescent="0.25">
      <c r="A165" s="3">
        <v>13</v>
      </c>
      <c r="B165" s="36">
        <v>10</v>
      </c>
    </row>
    <row r="166" spans="1:7" x14ac:dyDescent="0.25">
      <c r="A166" s="3">
        <v>14</v>
      </c>
      <c r="B166" s="36">
        <v>13</v>
      </c>
    </row>
    <row r="167" spans="1:7" x14ac:dyDescent="0.25">
      <c r="A167" s="3" t="s">
        <v>2504</v>
      </c>
      <c r="B167" s="36">
        <v>2400</v>
      </c>
    </row>
    <row r="171" spans="1:7" x14ac:dyDescent="0.25">
      <c r="A171" s="2" t="s">
        <v>2505</v>
      </c>
      <c r="B171" s="2" t="s">
        <v>2519</v>
      </c>
    </row>
    <row r="172" spans="1:7" x14ac:dyDescent="0.25">
      <c r="A172" s="2" t="s">
        <v>2503</v>
      </c>
      <c r="B172">
        <v>1</v>
      </c>
      <c r="C172">
        <v>2</v>
      </c>
      <c r="D172">
        <v>3</v>
      </c>
      <c r="E172">
        <v>4</v>
      </c>
      <c r="F172">
        <v>5</v>
      </c>
      <c r="G172" t="s">
        <v>2504</v>
      </c>
    </row>
    <row r="173" spans="1:7" x14ac:dyDescent="0.25">
      <c r="A173" s="3" t="s">
        <v>2522</v>
      </c>
      <c r="B173" s="36">
        <v>7</v>
      </c>
      <c r="C173" s="36">
        <v>37</v>
      </c>
      <c r="D173" s="36">
        <v>150</v>
      </c>
      <c r="E173" s="36">
        <v>312</v>
      </c>
      <c r="F173" s="36">
        <v>224</v>
      </c>
      <c r="G173" s="36">
        <v>730</v>
      </c>
    </row>
    <row r="174" spans="1:7" x14ac:dyDescent="0.25">
      <c r="A174" s="3" t="s">
        <v>2523</v>
      </c>
      <c r="B174" s="36">
        <v>8</v>
      </c>
      <c r="C174" s="36">
        <v>51</v>
      </c>
      <c r="D174" s="36">
        <v>182</v>
      </c>
      <c r="E174" s="36">
        <v>373</v>
      </c>
      <c r="F174" s="36">
        <v>247</v>
      </c>
      <c r="G174" s="36">
        <v>861</v>
      </c>
    </row>
    <row r="175" spans="1:7" x14ac:dyDescent="0.25">
      <c r="A175" s="3" t="s">
        <v>2524</v>
      </c>
      <c r="B175" s="36">
        <v>6</v>
      </c>
      <c r="C175" s="36">
        <v>39</v>
      </c>
      <c r="D175" s="36">
        <v>163</v>
      </c>
      <c r="E175" s="36">
        <v>351</v>
      </c>
      <c r="F175" s="36">
        <v>250</v>
      </c>
      <c r="G175" s="36">
        <v>809</v>
      </c>
    </row>
    <row r="176" spans="1:7" x14ac:dyDescent="0.25">
      <c r="A176" s="3" t="s">
        <v>2504</v>
      </c>
      <c r="B176" s="36">
        <v>21</v>
      </c>
      <c r="C176" s="36">
        <v>127</v>
      </c>
      <c r="D176" s="36">
        <v>495</v>
      </c>
      <c r="E176" s="36">
        <v>1036</v>
      </c>
      <c r="F176" s="36">
        <v>721</v>
      </c>
      <c r="G176" s="36">
        <v>2400</v>
      </c>
    </row>
    <row r="179" spans="15:24" ht="15.75" thickBot="1" x14ac:dyDescent="0.3"/>
    <row r="180" spans="15:24" x14ac:dyDescent="0.25">
      <c r="O180" s="5"/>
      <c r="P180" s="6"/>
      <c r="Q180" s="6"/>
      <c r="R180" s="6"/>
      <c r="S180" s="6"/>
      <c r="T180" s="6"/>
      <c r="U180" s="6"/>
      <c r="V180" s="6"/>
      <c r="W180" s="6"/>
      <c r="X180" s="7"/>
    </row>
    <row r="181" spans="15:24" x14ac:dyDescent="0.25">
      <c r="O181" s="8"/>
      <c r="X181" s="9"/>
    </row>
    <row r="182" spans="15:24" x14ac:dyDescent="0.25">
      <c r="O182" s="8"/>
      <c r="X182" s="9"/>
    </row>
    <row r="183" spans="15:24" x14ac:dyDescent="0.25">
      <c r="O183" s="8"/>
      <c r="X183" s="9"/>
    </row>
    <row r="184" spans="15:24" x14ac:dyDescent="0.25">
      <c r="O184" s="8"/>
      <c r="X184" s="9"/>
    </row>
    <row r="185" spans="15:24" ht="30" customHeight="1" x14ac:dyDescent="0.25">
      <c r="O185" s="8"/>
      <c r="R185" s="28"/>
      <c r="S185" s="28" t="str">
        <f t="shared" ref="S185:V190" si="1">B30</f>
        <v>Female</v>
      </c>
      <c r="T185" s="28" t="str">
        <f t="shared" si="1"/>
        <v>Male</v>
      </c>
      <c r="U185" s="28" t="str">
        <f t="shared" si="1"/>
        <v>Other</v>
      </c>
      <c r="V185" s="28" t="str">
        <f t="shared" si="1"/>
        <v>Unknown</v>
      </c>
      <c r="X185" s="9"/>
    </row>
    <row r="186" spans="15:24" ht="30" customHeight="1" x14ac:dyDescent="0.25">
      <c r="O186" s="8"/>
      <c r="R186" s="28" t="str">
        <f>A31</f>
        <v>App</v>
      </c>
      <c r="S186" s="17">
        <f t="shared" si="1"/>
        <v>0.18961825201634841</v>
      </c>
      <c r="T186" s="18">
        <f t="shared" si="1"/>
        <v>0.12262322351336576</v>
      </c>
      <c r="U186" s="18">
        <f t="shared" si="1"/>
        <v>1.060537752469185E-2</v>
      </c>
      <c r="V186" s="19">
        <f t="shared" si="1"/>
        <v>3.0599220547662797E-2</v>
      </c>
      <c r="X186" s="9"/>
    </row>
    <row r="187" spans="15:24" ht="30" customHeight="1" x14ac:dyDescent="0.25">
      <c r="O187" s="8"/>
      <c r="R187" s="28" t="str">
        <f>A32</f>
        <v>Instagram</v>
      </c>
      <c r="S187" s="17">
        <f t="shared" si="1"/>
        <v>5.0283982091147303E-2</v>
      </c>
      <c r="T187" s="18">
        <f t="shared" si="1"/>
        <v>4.3060781812819873E-2</v>
      </c>
      <c r="U187" s="18">
        <f t="shared" si="1"/>
        <v>1.5320025675641944E-3</v>
      </c>
      <c r="V187" s="19">
        <f t="shared" si="1"/>
        <v>1.7794988689097006E-2</v>
      </c>
      <c r="X187" s="9"/>
    </row>
    <row r="188" spans="15:24" ht="30" customHeight="1" x14ac:dyDescent="0.25">
      <c r="O188" s="8"/>
      <c r="R188" s="28" t="str">
        <f>A33</f>
        <v>Partner App</v>
      </c>
      <c r="S188" s="17">
        <f t="shared" si="1"/>
        <v>6.3496059750411282E-2</v>
      </c>
      <c r="T188" s="18">
        <f t="shared" si="1"/>
        <v>4.6071629863988765E-2</v>
      </c>
      <c r="U188" s="18">
        <f t="shared" si="1"/>
        <v>2.306247051322625E-3</v>
      </c>
      <c r="V188" s="19">
        <f t="shared" si="1"/>
        <v>3.8927934093844286E-3</v>
      </c>
      <c r="X188" s="9"/>
    </row>
    <row r="189" spans="15:24" ht="30" customHeight="1" x14ac:dyDescent="0.25">
      <c r="O189" s="8"/>
      <c r="R189" s="28" t="str">
        <f>A34</f>
        <v>Target.com</v>
      </c>
      <c r="S189" s="17">
        <f t="shared" si="1"/>
        <v>9.6337892927149532E-2</v>
      </c>
      <c r="T189" s="18">
        <f t="shared" si="1"/>
        <v>6.7920115842382611E-2</v>
      </c>
      <c r="U189" s="18">
        <f t="shared" si="1"/>
        <v>5.4979832664581261E-3</v>
      </c>
      <c r="V189" s="19">
        <f t="shared" si="1"/>
        <v>1.2933041488102518E-2</v>
      </c>
      <c r="X189" s="9"/>
    </row>
    <row r="190" spans="15:24" ht="30" customHeight="1" x14ac:dyDescent="0.25">
      <c r="O190" s="8"/>
      <c r="R190" s="28" t="str">
        <f>A35</f>
        <v>Website</v>
      </c>
      <c r="S190" s="20">
        <f t="shared" si="1"/>
        <v>0.12522098709469262</v>
      </c>
      <c r="T190" s="21">
        <f t="shared" si="1"/>
        <v>9.1492740283116228E-2</v>
      </c>
      <c r="U190" s="21">
        <f t="shared" si="1"/>
        <v>6.3042760790965081E-3</v>
      </c>
      <c r="V190" s="22">
        <f t="shared" si="1"/>
        <v>1.2408404181197551E-2</v>
      </c>
      <c r="X190" s="9"/>
    </row>
    <row r="191" spans="15:24" x14ac:dyDescent="0.25">
      <c r="O191" s="8"/>
      <c r="X191" s="9"/>
    </row>
    <row r="192" spans="15:24" x14ac:dyDescent="0.25">
      <c r="O192" s="8"/>
      <c r="X192" s="9"/>
    </row>
    <row r="193" spans="15:24" x14ac:dyDescent="0.25">
      <c r="O193" s="8"/>
      <c r="X193" s="9"/>
    </row>
    <row r="194" spans="15:24" ht="15.75" thickBot="1" x14ac:dyDescent="0.3">
      <c r="O194" s="29"/>
      <c r="P194" s="30"/>
      <c r="Q194" s="30"/>
      <c r="R194" s="30"/>
      <c r="S194" s="30"/>
      <c r="T194" s="30"/>
      <c r="U194" s="30"/>
      <c r="V194" s="30"/>
      <c r="W194" s="30"/>
      <c r="X194" s="31"/>
    </row>
  </sheetData>
  <conditionalFormatting sqref="S186:V1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EA12-3EBC-438D-A7E7-F6B0C626D1E7}">
  <sheetPr>
    <tabColor rgb="FF00B0F0"/>
  </sheetPr>
  <dimension ref="AA12"/>
  <sheetViews>
    <sheetView showGridLines="0" showRowColHeaders="0" tabSelected="1" zoomScale="80" zoomScaleNormal="80" workbookViewId="0">
      <selection activeCell="AC14" sqref="AC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sheetData>
    <row r="12" spans="27:27" x14ac:dyDescent="0.25">
      <c r="AA12" s="32"/>
    </row>
  </sheetData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Database</vt:lpstr>
      <vt:lpstr>Pivots</vt:lpstr>
      <vt:lpstr>Dashboard</vt:lpstr>
      <vt:lpstr>Dashboard!Obszar_wydruku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Biały</dc:creator>
  <cp:lastModifiedBy>Hubert Biały</cp:lastModifiedBy>
  <cp:lastPrinted>2026-02-20T14:01:02Z</cp:lastPrinted>
  <dcterms:created xsi:type="dcterms:W3CDTF">2015-06-05T18:19:34Z</dcterms:created>
  <dcterms:modified xsi:type="dcterms:W3CDTF">2026-02-21T08:56:08Z</dcterms:modified>
</cp:coreProperties>
</file>